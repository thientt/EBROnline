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7A2D7E96-6E34-419A-AE5F-296B3A7E7977}"/>
  <workbookPr codeName="ThisWorkbook"/>
  <bookViews>
    <workbookView xWindow="0" yWindow="0" windowWidth="28800" windowHeight="13635" tabRatio="637"/>
  </bookViews>
  <sheets>
    <sheet name="EBR" sheetId="4" r:id="rId1"/>
    <sheet name="ABI" sheetId="6" r:id="rId2"/>
    <sheet name="Bond Diagram" sheetId="12" r:id="rId3"/>
    <sheet name="Launch Build" sheetId="9" r:id="rId4"/>
    <sheet name="Drop Downs" sheetId="11" r:id="rId5"/>
    <sheet name="Mail List" sheetId="13" r:id="rId6"/>
  </sheets>
  <definedNames>
    <definedName name="_xlnm._FilterDatabase" localSheetId="4" hidden="1">'Drop Downs'!$T$3:$T$65</definedName>
    <definedName name="Build_Reason">'Drop Downs'!$A$2:$A$20</definedName>
    <definedName name="Business_Unit">'Drop Downs'!$S$3:$S$8</definedName>
    <definedName name="christophe.coulee_atmel.com">'Drop Downs'!$T$3:$T$57</definedName>
    <definedName name="Container">'Drop Downs'!$M$3:$M$7</definedName>
    <definedName name="Die_Bank">'Drop Downs'!$L$2:$L$17</definedName>
    <definedName name="eABI_ATP_Mail_List">'Drop Downs'!$J$24:$J$32</definedName>
    <definedName name="Email_Addesses">'Drop Downs'!$T$3:$T$82</definedName>
    <definedName name="Fab_Code">'Drop Downs'!$H$9:$H$21</definedName>
    <definedName name="Fab_Location">'Drop Downs'!$K$2:$K$13</definedName>
    <definedName name="Marking">'Drop Downs'!$O$3:$O$11</definedName>
    <definedName name="Marking_SL">'Drop Downs'!$I$14:$I$20</definedName>
    <definedName name="Owner">'Drop Downs'!$B$3:$B$10</definedName>
    <definedName name="PKG_Code">'Drop Downs'!$R$3:$R$43</definedName>
    <definedName name="PKG_Style">'Drop Downs'!$Q$3:$Q$36</definedName>
    <definedName name="_xlnm.Print_Area" localSheetId="1">ABI!$A$1:$G$62</definedName>
    <definedName name="_xlnm.Print_Area" localSheetId="0">EBR!$A$1:$G$62</definedName>
    <definedName name="Priority">'Drop Downs'!$C$2:$C$12</definedName>
    <definedName name="Probe">'Drop Downs'!$H$2:$H$7</definedName>
    <definedName name="Process">'Drop Downs'!$D$2:$D$35</definedName>
    <definedName name="Process__LTS">'Drop Downs'!$I$9:$I$11</definedName>
    <definedName name="Qual_Level">'Drop Downs'!$B$18:$B$23</definedName>
    <definedName name="Requestor_LOC">'Drop Downs'!$I$21:$I$34</definedName>
    <definedName name="Rev_Loc">'Drop Downs'!$C$23:$C$30</definedName>
    <definedName name="Revenue_Location">'Drop Downs'!$C$22:$C$30</definedName>
    <definedName name="Scrap">'Drop Downs'!$C$32:$C$33</definedName>
    <definedName name="Store">'Drop Downs'!$N$3:$N$7</definedName>
    <definedName name="Test">'Drop Downs'!$I$2:$I$7</definedName>
    <definedName name="TEST_LOC">'Drop Downs'!$J$2:$J$39</definedName>
    <definedName name="Test_Location">'Drop Downs'!$J$2:$J$15</definedName>
    <definedName name="Vendor">'Drop Downs'!$F$3:$F$43</definedName>
    <definedName name="Vendor_Code">'Drop Downs'!$E$3:$E$67</definedName>
    <definedName name="Vendor_Email">'Drop Downs'!$G$2:$G$52</definedName>
    <definedName name="Vendor_Mail">'Drop Downs'!$G$2:$G$52</definedName>
    <definedName name="Wafer_Size">'Drop Downs'!$M$7:$M$13</definedName>
    <definedName name="Wafer_Size1">'Drop Downs'!$M$10:$M$13</definedName>
    <definedName name="Wfr_Size">'Drop Downs'!$M$9:$M$13</definedName>
    <definedName name="Wire_Mat">'Drop Downs'!$C$14:$C$18</definedName>
    <definedName name="YES_NO">'Drop Downs'!$U$2:$U$3</definedName>
  </definedNames>
  <calcPr calcId="125725"/>
</workbook>
</file>

<file path=xl/calcChain.xml><?xml version="1.0" encoding="utf-8"?>
<calcChain xmlns="http://schemas.openxmlformats.org/spreadsheetml/2006/main">
  <c r="G46" i="6"/>
  <c r="F46"/>
  <c r="F32" l="1"/>
  <c r="A50" l="1"/>
  <c r="B30"/>
  <c r="F47" l="1"/>
  <c r="A27" l="1"/>
  <c r="B34" l="1"/>
  <c r="A34"/>
  <c r="F29" l="1"/>
  <c r="F19" l="1"/>
  <c r="A28"/>
  <c r="B28"/>
  <c r="B18" i="9" s="1"/>
  <c r="G62" i="6"/>
  <c r="G26"/>
  <c r="A35"/>
  <c r="A36"/>
  <c r="G61"/>
  <c r="C9"/>
  <c r="C11"/>
  <c r="C12"/>
  <c r="C13"/>
  <c r="C14"/>
  <c r="C15"/>
  <c r="G60"/>
  <c r="F60"/>
  <c r="B22"/>
  <c r="A22"/>
  <c r="B21"/>
  <c r="A21"/>
  <c r="B20"/>
  <c r="A20"/>
  <c r="A53"/>
  <c r="G9"/>
  <c r="F9"/>
  <c r="B9"/>
  <c r="A9"/>
  <c r="A29"/>
  <c r="G47"/>
  <c r="B18"/>
  <c r="B17"/>
  <c r="F49"/>
  <c r="F48"/>
  <c r="F45"/>
  <c r="F44"/>
  <c r="F43"/>
  <c r="B19"/>
  <c r="B23"/>
  <c r="B24"/>
  <c r="B25"/>
  <c r="B26"/>
  <c r="F41"/>
  <c r="A23"/>
  <c r="A24"/>
  <c r="A25"/>
  <c r="A26"/>
  <c r="A19"/>
  <c r="A18"/>
  <c r="A17"/>
  <c r="B35"/>
  <c r="A33"/>
  <c r="B33"/>
  <c r="B32"/>
  <c r="A32"/>
  <c r="A51"/>
  <c r="A52"/>
  <c r="A4" i="12"/>
  <c r="A8"/>
  <c r="A6"/>
  <c r="A3"/>
  <c r="A1"/>
  <c r="G89" i="4"/>
  <c r="G86"/>
  <c r="G76"/>
  <c r="G87"/>
  <c r="G72"/>
  <c r="B72"/>
  <c r="B73"/>
  <c r="G84"/>
  <c r="B75"/>
  <c r="B74"/>
  <c r="B71"/>
  <c r="B70"/>
  <c r="G82"/>
  <c r="B79"/>
  <c r="B78"/>
  <c r="B77"/>
  <c r="B76"/>
  <c r="G81"/>
  <c r="G79"/>
  <c r="G77"/>
  <c r="G73"/>
  <c r="B90"/>
  <c r="B86"/>
  <c r="B85"/>
  <c r="B84"/>
  <c r="B82"/>
  <c r="B81"/>
  <c r="A15" i="6"/>
  <c r="A14"/>
  <c r="A13"/>
  <c r="A12"/>
  <c r="A11"/>
  <c r="A10"/>
  <c r="B29"/>
  <c r="B43"/>
  <c r="B42"/>
  <c r="B41"/>
  <c r="B40"/>
  <c r="G7"/>
  <c r="D10" i="9"/>
  <c r="B12"/>
  <c r="D9" s="1"/>
  <c r="D11"/>
  <c r="B6"/>
  <c r="D8" s="1"/>
  <c r="F19" s="1"/>
  <c r="B11"/>
  <c r="B36" i="6"/>
  <c r="G20"/>
  <c r="B9" i="9"/>
  <c r="B39" i="6"/>
  <c r="G17"/>
  <c r="D2" i="9"/>
  <c r="G6" i="6"/>
  <c r="G5"/>
  <c r="G4"/>
  <c r="B6"/>
  <c r="B5"/>
  <c r="B4"/>
  <c r="B19" i="9"/>
  <c r="B8"/>
  <c r="B5"/>
  <c r="F51" i="6"/>
  <c r="G43"/>
  <c r="B27"/>
  <c r="B53"/>
  <c r="G49"/>
  <c r="G48"/>
  <c r="G45"/>
  <c r="G44"/>
  <c r="G19"/>
  <c r="G18"/>
  <c r="B60"/>
  <c r="B59"/>
  <c r="B58"/>
  <c r="B57"/>
  <c r="B56"/>
  <c r="B10"/>
  <c r="C10"/>
  <c r="F10"/>
  <c r="G10"/>
  <c r="B11"/>
  <c r="F11"/>
  <c r="G11"/>
  <c r="B12"/>
  <c r="F12"/>
  <c r="G12"/>
  <c r="B13"/>
  <c r="F13"/>
  <c r="G13"/>
  <c r="B14"/>
  <c r="F14"/>
  <c r="G14"/>
  <c r="B15"/>
  <c r="F15"/>
  <c r="G15"/>
  <c r="A37"/>
  <c r="B38"/>
  <c r="D3" i="9"/>
  <c r="F20" l="1"/>
  <c r="F31"/>
  <c r="F30"/>
  <c r="F29"/>
  <c r="F28"/>
  <c r="F21"/>
  <c r="F22"/>
  <c r="F23"/>
  <c r="F27"/>
  <c r="B17"/>
  <c r="F24"/>
  <c r="F25"/>
  <c r="F26"/>
</calcChain>
</file>

<file path=xl/comments1.xml><?xml version="1.0" encoding="utf-8"?>
<comments xmlns="http://schemas.openxmlformats.org/spreadsheetml/2006/main">
  <authors>
    <author>Atmel</author>
    <author>mbrayton</author>
  </authors>
  <commentList>
    <comment ref="B4" authorId="0">
      <text>
        <r>
          <rPr>
            <sz val="8"/>
            <color indexed="81"/>
            <rFont val="Tahoma"/>
            <family val="2"/>
          </rPr>
          <t xml:space="preserve">(CSO Example) AT36302-DSxH-08-T
(SJO Example) 36302 or 36302-1
(RFO-NTO Example)  36302/PID16
</t>
        </r>
      </text>
    </comment>
    <comment ref="B5" authorId="1">
      <text>
        <r>
          <rPr>
            <b/>
            <sz val="9"/>
            <color indexed="81"/>
            <rFont val="Tahoma"/>
            <family val="2"/>
          </rPr>
          <t>(Example) SL903Rev00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1">
      <text>
        <r>
          <rPr>
            <b/>
            <sz val="9"/>
            <color indexed="81"/>
            <rFont val="Tahoma"/>
            <family val="2"/>
          </rPr>
          <t>(Example) A, B, C, etc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" authorId="1">
      <text>
        <r>
          <rPr>
            <b/>
            <sz val="9"/>
            <color indexed="81"/>
            <rFont val="Tahoma"/>
            <family val="2"/>
          </rPr>
          <t xml:space="preserve">(Example) 36302A11P or 36302AXXP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" authorId="1">
      <text>
        <r>
          <rPr>
            <b/>
            <sz val="9"/>
            <color indexed="81"/>
            <rFont val="Tahoma"/>
            <family val="2"/>
          </rPr>
          <t>(Example) 36302A11-SWBH11A or 36302AXX-SWBXXXA</t>
        </r>
      </text>
    </comment>
    <comment ref="B9" authorId="1">
      <text>
        <r>
          <rPr>
            <b/>
            <sz val="9"/>
            <color indexed="81"/>
            <rFont val="Tahoma"/>
            <family val="2"/>
          </rPr>
          <t>(Example) 36302A11-SWBH11T or 36302AXX-SWBXXXT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(Example) 36302A11-SWBH11F
If building a Proto Part 
(Example) 36302AXX-SWBXXXF 
do not enter anything in this field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This is the Material in SAP, 
also known as the CPN
(Example) 24C02D-SSHM-T</t>
        </r>
      </text>
    </comment>
    <comment ref="G11" authorId="1">
      <text>
        <r>
          <rPr>
            <b/>
            <sz val="9"/>
            <color indexed="81"/>
            <rFont val="Tahoma"/>
            <family val="2"/>
          </rPr>
          <t>This field refers to excess die or the wafer skeleton die… not residual parts</t>
        </r>
      </text>
    </comment>
    <comment ref="B16" authorId="1">
      <text>
        <r>
          <rPr>
            <b/>
            <sz val="9"/>
            <color indexed="81"/>
            <rFont val="Tahoma"/>
            <family val="2"/>
          </rPr>
          <t>(Example) 01, 02, 03….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Bond Diagram File Name as a Reference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This is a required field for SJO Engineering Builds</t>
        </r>
      </text>
    </comment>
    <comment ref="B18" authorId="1">
      <text>
        <r>
          <rPr>
            <b/>
            <sz val="9"/>
            <color indexed="81"/>
            <rFont val="Tahoma"/>
            <family val="2"/>
          </rPr>
          <t>(Example) 28 mils, 11 mils, 6 mils, etc...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" authorId="1">
      <text>
        <r>
          <rPr>
            <b/>
            <sz val="9"/>
            <color indexed="81"/>
            <rFont val="Tahoma"/>
            <family val="2"/>
          </rPr>
          <t>(Example) 35934-1, 35934-2, etc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1" authorId="1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5" authorId="1">
      <text>
        <r>
          <rPr>
            <b/>
            <sz val="9"/>
            <color indexed="81"/>
            <rFont val="Tahoma"/>
            <family val="2"/>
          </rPr>
          <t>Optional</t>
        </r>
      </text>
    </comment>
    <comment ref="B29" authorId="1">
      <text>
        <r>
          <rPr>
            <b/>
            <sz val="9"/>
            <color indexed="81"/>
            <rFont val="Tahoma"/>
            <family val="2"/>
          </rPr>
          <t>SJO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0" authorId="1">
      <text>
        <r>
          <rPr>
            <b/>
            <sz val="9"/>
            <color indexed="81"/>
            <rFont val="Tahoma"/>
            <family val="2"/>
          </rPr>
          <t>If a file is provided, just note the file name here.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3" authorId="1">
      <text>
        <r>
          <rPr>
            <b/>
            <sz val="9"/>
            <color indexed="81"/>
            <rFont val="Tahoma"/>
            <family val="2"/>
          </rPr>
          <t>(Example) A2S1, etc... from MA-5005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5" authorId="1">
      <text>
        <r>
          <rPr>
            <b/>
            <sz val="9"/>
            <color indexed="81"/>
            <rFont val="Tahoma"/>
            <family val="2"/>
          </rPr>
          <t>Optional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6" authorId="1">
      <text>
        <r>
          <rPr>
            <b/>
            <sz val="9"/>
            <color indexed="81"/>
            <rFont val="Tahoma"/>
            <family val="2"/>
          </rPr>
          <t>If program name is too long to view, please enter in Test/Special Instructions Area.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0">
      <text>
        <r>
          <rPr>
            <b/>
            <sz val="8"/>
            <color indexed="81"/>
            <rFont val="Tahoma"/>
            <family val="2"/>
          </rPr>
          <t>The Date the requestor wants the finished product shipped back from the sub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mbrayton</author>
  </authors>
  <commentList>
    <comment ref="B62" authorId="0">
      <text>
        <r>
          <rPr>
            <b/>
            <sz val="9"/>
            <color indexed="81"/>
            <rFont val="Tahoma"/>
            <family val="2"/>
          </rPr>
          <t>Used by CSO 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Atmel</author>
  </authors>
  <commentList>
    <comment ref="A1" authorId="0">
      <text>
        <r>
          <rPr>
            <b/>
            <sz val="11"/>
            <color indexed="81"/>
            <rFont val="Tahoma"/>
            <family val="2"/>
          </rPr>
          <t>Insert Bond Diagram, Wafer Maps, etc on this sheet
Insert Bond Diagram, Wafer Maps, etc on this sheet
To do so click:
Insert
Object
Create from File
Check the Display as Icon box but not the Link to File box
Browse form your file
Insert
OK</t>
        </r>
      </text>
    </comment>
  </commentList>
</comments>
</file>

<file path=xl/comments4.xml><?xml version="1.0" encoding="utf-8"?>
<comments xmlns="http://schemas.openxmlformats.org/spreadsheetml/2006/main">
  <authors>
    <author>Atmel</author>
  </authors>
  <commentList>
    <comment ref="D7" authorId="0">
      <text>
        <r>
          <rPr>
            <b/>
            <sz val="8"/>
            <color indexed="10"/>
            <rFont val="Tahoma"/>
            <family val="2"/>
          </rPr>
          <t>(Only one address per cell is allowed.)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A20" authorId="0">
      <text>
        <r>
          <rPr>
            <b/>
            <sz val="8"/>
            <color indexed="81"/>
            <rFont val="Tahoma"/>
            <family val="2"/>
          </rPr>
          <t>Another element to the file name can be added here such as a date code or lot number code.
(</t>
        </r>
        <r>
          <rPr>
            <b/>
            <sz val="8"/>
            <color indexed="10"/>
            <rFont val="Tahoma"/>
            <family val="2"/>
          </rPr>
          <t>No special characters allowed.</t>
        </r>
        <r>
          <rPr>
            <b/>
            <sz val="8"/>
            <color indexed="81"/>
            <rFont val="Tahoma"/>
            <family val="2"/>
          </rPr>
          <t xml:space="preserve">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6" authorId="0">
      <text>
        <r>
          <rPr>
            <b/>
            <sz val="8"/>
            <color indexed="81"/>
            <rFont val="Tahoma"/>
            <family val="2"/>
          </rPr>
          <t>The date the sub has committed to ship the finished product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<sst xmlns="http://schemas.openxmlformats.org/spreadsheetml/2006/main" count="839" uniqueCount="707">
  <si>
    <t>Package:</t>
  </si>
  <si>
    <t>Leads:</t>
  </si>
  <si>
    <t>Bond Diagram:</t>
  </si>
  <si>
    <t>Other</t>
  </si>
  <si>
    <t xml:space="preserve"> </t>
  </si>
  <si>
    <t>NSTD</t>
  </si>
  <si>
    <t>NCR</t>
  </si>
  <si>
    <t>RISK</t>
  </si>
  <si>
    <t>DEV</t>
  </si>
  <si>
    <t>PROTO</t>
  </si>
  <si>
    <t>ENG</t>
  </si>
  <si>
    <t>Package Size:</t>
  </si>
  <si>
    <t>Assy Subcontractor:</t>
  </si>
  <si>
    <t>Pad Size:</t>
  </si>
  <si>
    <t>Mold Compound:</t>
  </si>
  <si>
    <t>D/A Material:</t>
  </si>
  <si>
    <t>Contact:</t>
  </si>
  <si>
    <t>Phone:</t>
  </si>
  <si>
    <t>N/A</t>
  </si>
  <si>
    <t/>
  </si>
  <si>
    <t>Assembly House:</t>
  </si>
  <si>
    <t>Date of Order:</t>
  </si>
  <si>
    <t>Email Address:</t>
  </si>
  <si>
    <t>Total Cost:</t>
  </si>
  <si>
    <t>Lead Time (days):</t>
  </si>
  <si>
    <t xml:space="preserve">ABI Global Folder: </t>
  </si>
  <si>
    <t xml:space="preserve">EBR File Name: </t>
  </si>
  <si>
    <t xml:space="preserve">ABI File Name: </t>
  </si>
  <si>
    <t>Build_Reason</t>
  </si>
  <si>
    <t>Owner</t>
  </si>
  <si>
    <t>Top Line</t>
  </si>
  <si>
    <t>2nd Line</t>
  </si>
  <si>
    <t>3rd Line</t>
  </si>
  <si>
    <t>4th Line</t>
  </si>
  <si>
    <t>C</t>
  </si>
  <si>
    <t>I</t>
  </si>
  <si>
    <t>A</t>
  </si>
  <si>
    <t>J</t>
  </si>
  <si>
    <t>L</t>
  </si>
  <si>
    <t>X</t>
  </si>
  <si>
    <t>U</t>
  </si>
  <si>
    <t>H</t>
  </si>
  <si>
    <t>Vendor</t>
  </si>
  <si>
    <t>AA</t>
  </si>
  <si>
    <t>B</t>
  </si>
  <si>
    <t>G</t>
  </si>
  <si>
    <t>K</t>
  </si>
  <si>
    <t>M</t>
  </si>
  <si>
    <t>N</t>
  </si>
  <si>
    <t>P</t>
  </si>
  <si>
    <t>R</t>
  </si>
  <si>
    <t>W</t>
  </si>
  <si>
    <t>Y</t>
  </si>
  <si>
    <t>D</t>
  </si>
  <si>
    <t>Test Program:</t>
  </si>
  <si>
    <t>Test Location:</t>
  </si>
  <si>
    <t>Test</t>
  </si>
  <si>
    <t>Return Wafer to :</t>
  </si>
  <si>
    <t>Ship Finished Product  to :</t>
  </si>
  <si>
    <t>Automated Processing and Distribution Macros</t>
  </si>
  <si>
    <t>Test_Location</t>
  </si>
  <si>
    <t>Fab_Location</t>
  </si>
  <si>
    <t>Die_Bank</t>
  </si>
  <si>
    <t>CSO</t>
  </si>
  <si>
    <t>SJO</t>
  </si>
  <si>
    <t xml:space="preserve">            Requested By:</t>
  </si>
  <si>
    <t>ATMEL P.O. #</t>
  </si>
  <si>
    <t>Tube</t>
  </si>
  <si>
    <t>LINE 1-------&gt;</t>
  </si>
  <si>
    <t>LINE 3-------&gt;</t>
  </si>
  <si>
    <t>LINE 4-------&gt;</t>
  </si>
  <si>
    <t>Email Distribution Addresses</t>
  </si>
  <si>
    <t>Container #:</t>
  </si>
  <si>
    <t>Probe Status:</t>
  </si>
  <si>
    <t>Ship Final Product  to :</t>
  </si>
  <si>
    <t>Attachments</t>
  </si>
  <si>
    <t>Requester:</t>
  </si>
  <si>
    <t>Requester's Location:</t>
  </si>
  <si>
    <t>Manager 's Email:</t>
  </si>
  <si>
    <t>Approving Manager:</t>
  </si>
  <si>
    <t>Line Item:</t>
  </si>
  <si>
    <t>&lt;--Subcontractor Msg</t>
  </si>
  <si>
    <t>&lt;--Atmel internal Msg</t>
  </si>
  <si>
    <t>F</t>
  </si>
  <si>
    <t>T</t>
  </si>
  <si>
    <t>E</t>
  </si>
  <si>
    <t>Q</t>
  </si>
  <si>
    <t>Z</t>
  </si>
  <si>
    <t>Initial Release</t>
  </si>
  <si>
    <t>Date</t>
  </si>
  <si>
    <t>FAB Die Revision:</t>
  </si>
  <si>
    <t>Rev</t>
  </si>
  <si>
    <t>Assembly Location:</t>
  </si>
  <si>
    <t>Assembly Location Email:</t>
  </si>
  <si>
    <t>Top Side Marking:</t>
  </si>
  <si>
    <t>Requested Cycle Time:</t>
  </si>
  <si>
    <t>Purpose of Build:</t>
  </si>
  <si>
    <t>Package Test Type:</t>
  </si>
  <si>
    <t>UV Erase:</t>
  </si>
  <si>
    <t>Die Coat:</t>
  </si>
  <si>
    <t>Marking Diagram:</t>
  </si>
  <si>
    <t>&lt;--Bond Diagram</t>
  </si>
  <si>
    <t>&lt;--Marking Diagram</t>
  </si>
  <si>
    <t xml:space="preserve">                            Top Marking</t>
  </si>
  <si>
    <t xml:space="preserve">                    Additional Instructions</t>
  </si>
  <si>
    <t>Delivery Date:</t>
  </si>
  <si>
    <t>LINE 2-------&gt;</t>
  </si>
  <si>
    <t>Description of Change</t>
  </si>
  <si>
    <t>Incorporated inputs form Patrick Bizet</t>
  </si>
  <si>
    <t>Phone #:</t>
  </si>
  <si>
    <t>ENGINEERING ASSEMBLY BUILD INSTRUCTIONS</t>
  </si>
  <si>
    <t>Die Bank Location:</t>
  </si>
  <si>
    <t>Folder location Change</t>
  </si>
  <si>
    <t>Build Quantity</t>
  </si>
  <si>
    <t>Incorporated inputs form Mark Fisher</t>
  </si>
  <si>
    <t>Attention:</t>
  </si>
  <si>
    <t>Bond Diagram /Rev:</t>
  </si>
  <si>
    <t>Bond Diagram Rev:</t>
  </si>
  <si>
    <t>Enhance email notification and incorporate input from Cita</t>
  </si>
  <si>
    <t>Marking Code (SJO):</t>
  </si>
  <si>
    <r>
      <t>PKG Process</t>
    </r>
    <r>
      <rPr>
        <sz val="9"/>
        <rFont val="Arial"/>
        <family val="2"/>
      </rPr>
      <t xml:space="preserve"> (Env Code)</t>
    </r>
    <r>
      <rPr>
        <b/>
        <sz val="9"/>
        <rFont val="Arial"/>
        <family val="2"/>
      </rPr>
      <t>:</t>
    </r>
  </si>
  <si>
    <t>CERDIP</t>
  </si>
  <si>
    <t>PQFP</t>
  </si>
  <si>
    <t>NTO</t>
  </si>
  <si>
    <t>RFO</t>
  </si>
  <si>
    <t>NO</t>
  </si>
  <si>
    <t>HNO</t>
  </si>
  <si>
    <t>Incorporated inputs form Thierry Saunier</t>
  </si>
  <si>
    <t>ATK3</t>
  </si>
  <si>
    <t>ATK4</t>
  </si>
  <si>
    <t>ANST/SCAN</t>
  </si>
  <si>
    <t>ASKR</t>
  </si>
  <si>
    <t>UTAC</t>
  </si>
  <si>
    <t>Sharif</t>
  </si>
  <si>
    <t>GAPT</t>
  </si>
  <si>
    <t>ATP2</t>
  </si>
  <si>
    <t>GRTK</t>
  </si>
  <si>
    <t>Jackson</t>
  </si>
  <si>
    <t>ATP1</t>
  </si>
  <si>
    <t>ASAT</t>
  </si>
  <si>
    <t>SCK</t>
  </si>
  <si>
    <t>SCC</t>
  </si>
  <si>
    <t>ASEK</t>
  </si>
  <si>
    <t>ATP3</t>
  </si>
  <si>
    <t>AIC2</t>
  </si>
  <si>
    <t>CPM2</t>
  </si>
  <si>
    <t>LING</t>
  </si>
  <si>
    <t>FUJC</t>
  </si>
  <si>
    <t>ASATC</t>
  </si>
  <si>
    <t>ASEC</t>
  </si>
  <si>
    <t>ATP4</t>
  </si>
  <si>
    <t>ATC3</t>
  </si>
  <si>
    <t>Business Unit:</t>
  </si>
  <si>
    <t>Total Cost :</t>
  </si>
  <si>
    <t>Email Subject Line:</t>
  </si>
  <si>
    <t>Engineering Build Request for</t>
  </si>
  <si>
    <t>Atmel Assembly Build Instructions for</t>
  </si>
  <si>
    <t>\\corp.atmel.com\resources\cso\Manufacturing\Subcon\Eng_Req\ABI_SUB\</t>
  </si>
  <si>
    <t>\\corp.atmel.com\resources\cso\Manufacturing\Subcon\Eng_Req\ABI_EBR\</t>
  </si>
  <si>
    <t>Current Wafer Thickness:</t>
  </si>
  <si>
    <t>Wafer Thickness:</t>
  </si>
  <si>
    <t>Price List</t>
  </si>
  <si>
    <t xml:space="preserve">Bond Diagram: </t>
  </si>
  <si>
    <t>HELP</t>
  </si>
  <si>
    <t xml:space="preserve">EBR Global Folder: </t>
  </si>
  <si>
    <t>Fix code that controls SaveAs macros</t>
  </si>
  <si>
    <t>PKG Lid Number:</t>
  </si>
  <si>
    <t>Pin 1 Marking</t>
  </si>
  <si>
    <t>Coordinator's Name:</t>
  </si>
  <si>
    <t>Atmel San Jose LTS Attributes Only</t>
  </si>
  <si>
    <t>MIL</t>
  </si>
  <si>
    <t>HTSCODE</t>
  </si>
  <si>
    <t>FASTTRACK</t>
  </si>
  <si>
    <t>SLNUMBER</t>
  </si>
  <si>
    <t>EXPEDITE</t>
  </si>
  <si>
    <t>CLASS_DESCRIPTION</t>
  </si>
  <si>
    <t>TEST</t>
  </si>
  <si>
    <t>COMMENTS</t>
  </si>
  <si>
    <t>DIECOAT</t>
  </si>
  <si>
    <t>DIEBANK</t>
  </si>
  <si>
    <t>UVERASE</t>
  </si>
  <si>
    <t>DROPSHIP</t>
  </si>
  <si>
    <t>PKGTYPE</t>
  </si>
  <si>
    <t>ROUTE</t>
  </si>
  <si>
    <t>PKGLEADS</t>
  </si>
  <si>
    <t>WAFER_MAP</t>
  </si>
  <si>
    <t>LOTID</t>
  </si>
  <si>
    <t>SEND_TO</t>
  </si>
  <si>
    <t>DIE and REV</t>
  </si>
  <si>
    <t>TEST_MATERIAL</t>
  </si>
  <si>
    <t>INTDEVICE</t>
  </si>
  <si>
    <t>PROCESS</t>
  </si>
  <si>
    <t>WAFERS</t>
  </si>
  <si>
    <t>ASSEMBLY_MATERIAL</t>
  </si>
  <si>
    <t>QUANTITY</t>
  </si>
  <si>
    <t>BACK_GRIND</t>
  </si>
  <si>
    <t>FABCODE</t>
  </si>
  <si>
    <t>FG_MATERIAL_ID</t>
  </si>
  <si>
    <t>BONDDIAGRAM</t>
  </si>
  <si>
    <t>VOLTAGE</t>
  </si>
  <si>
    <t>FLOWNUMBER</t>
  </si>
  <si>
    <t>STRIPTEST</t>
  </si>
  <si>
    <t>MARK CODE</t>
  </si>
  <si>
    <t>CARRIER</t>
  </si>
  <si>
    <t>MARKDEVICE</t>
  </si>
  <si>
    <t>AWB#</t>
  </si>
  <si>
    <t>SPEED</t>
  </si>
  <si>
    <t>TESTPRGNAME</t>
  </si>
  <si>
    <t>PACKAGE</t>
  </si>
  <si>
    <t>TEMPERATURE</t>
  </si>
  <si>
    <t>CLASS</t>
  </si>
  <si>
    <t>AYL</t>
  </si>
  <si>
    <t>MRL</t>
  </si>
  <si>
    <t>AYL_OPEN_SHORTS</t>
  </si>
  <si>
    <t>DIECOST</t>
  </si>
  <si>
    <t>Inputs from San Jose team, add Email drop downs</t>
  </si>
  <si>
    <t>Build Sheet # / Rev:</t>
  </si>
  <si>
    <t>&lt;--Other Attachment</t>
  </si>
  <si>
    <t>&lt;--Wafer Map</t>
  </si>
  <si>
    <t xml:space="preserve">File Name Element: </t>
  </si>
  <si>
    <t>AB</t>
  </si>
  <si>
    <t>AC</t>
  </si>
  <si>
    <t>AD</t>
  </si>
  <si>
    <t>QA</t>
  </si>
  <si>
    <t>Commercial</t>
  </si>
  <si>
    <t>Automotive</t>
  </si>
  <si>
    <t>Military</t>
  </si>
  <si>
    <t>Industrial</t>
  </si>
  <si>
    <t>Quality Level:</t>
  </si>
  <si>
    <t>LINE 5-------&gt;</t>
  </si>
  <si>
    <t>LINE 6-------&gt;</t>
  </si>
  <si>
    <t>5th Line</t>
  </si>
  <si>
    <t>6th Line</t>
  </si>
  <si>
    <t>pascal.bachelier@atmel.com</t>
  </si>
  <si>
    <t>patrick.bizet@atmel.com</t>
  </si>
  <si>
    <t>robert.gaumont@atmel.com</t>
  </si>
  <si>
    <t>mickael.martineau@atmel.com</t>
  </si>
  <si>
    <t>laetitia.potard@atmel.com</t>
  </si>
  <si>
    <t>pierre.valleau@atmel.com</t>
  </si>
  <si>
    <t>stephane.vandepeutte@atmel.com</t>
  </si>
  <si>
    <t>6 Lines of Marking, add FG_MATERIAL_ID and Process to top of EBR</t>
  </si>
  <si>
    <t>APG</t>
  </si>
  <si>
    <t>ASIC</t>
  </si>
  <si>
    <t>RFA</t>
  </si>
  <si>
    <t>MCU</t>
  </si>
  <si>
    <t>Memory</t>
  </si>
  <si>
    <t>Amkor Eng Lot Assembly Release Form</t>
  </si>
  <si>
    <t>YES</t>
  </si>
  <si>
    <t>Include Lot Numbers in ABI</t>
  </si>
  <si>
    <t>Add Y/N ? To LB sheet, Add more Email Addresses</t>
  </si>
  <si>
    <t>Subcontractor--&gt;</t>
  </si>
  <si>
    <t>Requestor--&gt;</t>
  </si>
  <si>
    <t>Coordinator--&gt;</t>
  </si>
  <si>
    <t>Manager--&gt;</t>
  </si>
  <si>
    <t>Assembly--&gt;</t>
  </si>
  <si>
    <t>Shipping--&gt;</t>
  </si>
  <si>
    <t>Other Recipient--&gt;</t>
  </si>
  <si>
    <t>Input from cite, Compile data macro, folder location, help tab</t>
  </si>
  <si>
    <t>Add Lid # to ABI, change to planner's name, Hyperlink fix</t>
  </si>
  <si>
    <t>Move LTS data to EBR &amp; ABI sheets, rev to accept Excel 2007 file format</t>
  </si>
  <si>
    <t>Add Qual Level, Change Mail code to include attachments, add file name element</t>
  </si>
  <si>
    <t>Planner--&gt;</t>
  </si>
  <si>
    <t>Email Addresses Continued</t>
  </si>
  <si>
    <t>PKG or LF Number:</t>
  </si>
  <si>
    <t>Solder Ball Mtl:</t>
  </si>
  <si>
    <t>Add LTS automation and Email paste feature</t>
  </si>
  <si>
    <t>CASON</t>
  </si>
  <si>
    <t>CBGA</t>
  </si>
  <si>
    <t>MLF</t>
  </si>
  <si>
    <t>DFCard</t>
  </si>
  <si>
    <t>FPACK</t>
  </si>
  <si>
    <t>FC</t>
  </si>
  <si>
    <t>CQUAD</t>
  </si>
  <si>
    <t>LGA</t>
  </si>
  <si>
    <t>LQFP</t>
  </si>
  <si>
    <t>MBGA</t>
  </si>
  <si>
    <t>PDIP</t>
  </si>
  <si>
    <t>PGA</t>
  </si>
  <si>
    <t>PLCC</t>
  </si>
  <si>
    <t>SOIC</t>
  </si>
  <si>
    <t>Package Code (San Jose)</t>
  </si>
  <si>
    <t>V</t>
  </si>
  <si>
    <t>ST</t>
  </si>
  <si>
    <t>SS</t>
  </si>
  <si>
    <t>S</t>
  </si>
  <si>
    <t>PS</t>
  </si>
  <si>
    <t>O</t>
  </si>
  <si>
    <t>MM</t>
  </si>
  <si>
    <t>MD</t>
  </si>
  <si>
    <t>MC</t>
  </si>
  <si>
    <t>MW</t>
  </si>
  <si>
    <t>MB</t>
  </si>
  <si>
    <t>MA</t>
  </si>
  <si>
    <t>DF</t>
  </si>
  <si>
    <t>CT</t>
  </si>
  <si>
    <t>CN</t>
  </si>
  <si>
    <t>CK</t>
  </si>
  <si>
    <t>CG</t>
  </si>
  <si>
    <t>Foundry</t>
  </si>
  <si>
    <t>PKG Process Type</t>
  </si>
  <si>
    <t>Vendor Code</t>
  </si>
  <si>
    <t>Vendor Contact Email Address</t>
  </si>
  <si>
    <t>Probe Status</t>
  </si>
  <si>
    <t>SJO Codes</t>
  </si>
  <si>
    <t>SJO VENDOR CONTACT</t>
  </si>
  <si>
    <t>Prod Eng</t>
  </si>
  <si>
    <t>Test Eng</t>
  </si>
  <si>
    <t>Multi Unit Test</t>
  </si>
  <si>
    <t>Single Unit Test</t>
  </si>
  <si>
    <t>Wafer Map#__</t>
  </si>
  <si>
    <t>Inked Die</t>
  </si>
  <si>
    <t>Blind Build</t>
  </si>
  <si>
    <t>New Package Qual</t>
  </si>
  <si>
    <t>New Assy Vendor Qual</t>
  </si>
  <si>
    <t>New Test Vendor</t>
  </si>
  <si>
    <t>Fab Excursion</t>
  </si>
  <si>
    <t>Fab Process Change</t>
  </si>
  <si>
    <t>Customer Issue</t>
  </si>
  <si>
    <t>New Device Revision</t>
  </si>
  <si>
    <t>DVS Build</t>
  </si>
  <si>
    <t>Strip Test</t>
  </si>
  <si>
    <t>Hand Test</t>
  </si>
  <si>
    <t>No Test</t>
  </si>
  <si>
    <t>Bakeable Tray</t>
  </si>
  <si>
    <t>Shipping Container</t>
  </si>
  <si>
    <t>Store Location</t>
  </si>
  <si>
    <t>Marking Instructions</t>
  </si>
  <si>
    <t>Business Unit</t>
  </si>
  <si>
    <t>Email Addresses</t>
  </si>
  <si>
    <t>Mark per Attached file</t>
  </si>
  <si>
    <t>LCC or LCCP</t>
  </si>
  <si>
    <t>YES NO</t>
  </si>
  <si>
    <t>Qual Level</t>
  </si>
  <si>
    <t>Jun Woo Lee</t>
  </si>
  <si>
    <t>Kye Hwa Lee</t>
  </si>
  <si>
    <t>Wilson Ma</t>
  </si>
  <si>
    <t>Jongho Han</t>
  </si>
  <si>
    <t>Pearl Wang</t>
  </si>
  <si>
    <t>Marj Cuevas-Esmile</t>
  </si>
  <si>
    <t>KIM Bo Yeon</t>
  </si>
  <si>
    <t>Fiona Guo</t>
  </si>
  <si>
    <t>Mirian Sung</t>
  </si>
  <si>
    <t>Christine Lai</t>
  </si>
  <si>
    <t>Vincent Lim</t>
  </si>
  <si>
    <t>Gina Hsu</t>
  </si>
  <si>
    <t>Yang Pan</t>
  </si>
  <si>
    <t>Monica Lee</t>
  </si>
  <si>
    <t>Nezta Zhu</t>
  </si>
  <si>
    <t>mitsui@atmel.com</t>
  </si>
  <si>
    <t>greatek@atmel.com</t>
  </si>
  <si>
    <t>asat@atmel.com</t>
  </si>
  <si>
    <t>cpk@atmel.com</t>
  </si>
  <si>
    <t>cps@atmel.com</t>
  </si>
  <si>
    <t>cpm@atmel.com</t>
  </si>
  <si>
    <t>fujitsu@atmel.com</t>
  </si>
  <si>
    <t>thierry.saunier@atmel.com</t>
  </si>
  <si>
    <t>CSO  Distribution Instructions</t>
  </si>
  <si>
    <r>
      <t>ENGINEERING ASSEMBLY BUILD REQUEST (</t>
    </r>
    <r>
      <rPr>
        <b/>
        <i/>
        <sz val="16"/>
        <color indexed="10"/>
        <rFont val="Arial"/>
        <family val="2"/>
      </rPr>
      <t>ATMEL USE ONLY</t>
    </r>
    <r>
      <rPr>
        <b/>
        <i/>
        <sz val="16"/>
        <rFont val="Arial"/>
        <family val="2"/>
      </rPr>
      <t>)</t>
    </r>
  </si>
  <si>
    <t>As Shown Below</t>
  </si>
  <si>
    <t>As Shown Below &amp; Serialize</t>
  </si>
  <si>
    <t>Standard CSO DV Marking</t>
  </si>
  <si>
    <t>Standard CSO DV &amp; Serialize</t>
  </si>
  <si>
    <t xml:space="preserve">www.atmel-nantes.fr/topmarks </t>
  </si>
  <si>
    <t xml:space="preserve">                     Test / Special Instructions</t>
  </si>
  <si>
    <t>PID #</t>
  </si>
  <si>
    <t>Include LTS data in EBR &amp; ABI</t>
  </si>
  <si>
    <t>Priority of Assembly Build</t>
  </si>
  <si>
    <t>Wafer Map (See Portal)</t>
  </si>
  <si>
    <t>New Assy Material/Process Qual</t>
  </si>
  <si>
    <t>Add LTS Export tool</t>
  </si>
  <si>
    <t>Test Progam Available:</t>
  </si>
  <si>
    <t>Veronique.Juille@atmel.com</t>
  </si>
  <si>
    <t>phil.johnson@atmel.com</t>
  </si>
  <si>
    <t>LFBGA</t>
  </si>
  <si>
    <t>Requested Ship Date:</t>
  </si>
  <si>
    <t xml:space="preserve"> Order Date:</t>
  </si>
  <si>
    <t>Add Test Program Availability question</t>
  </si>
  <si>
    <t>Clarify dates. Temporarily in RED</t>
  </si>
  <si>
    <t>Commited Ship Date:</t>
  </si>
  <si>
    <t>NPI =RUN  QUAL LOT</t>
  </si>
  <si>
    <t>NPI =RUN  ENG LOT</t>
  </si>
  <si>
    <t>NPI =RUN  PROD LOT</t>
  </si>
  <si>
    <t>Package Styles</t>
  </si>
  <si>
    <t>Romie.Dellomes@atmel.com</t>
  </si>
  <si>
    <t>Update Vendor Email list and edit mail message</t>
  </si>
  <si>
    <t>Wire Bond</t>
  </si>
  <si>
    <t>Wire Material</t>
  </si>
  <si>
    <t>Wire Material:</t>
  </si>
  <si>
    <t>Add Wire Material and Owner  (Changes in Red Temporarily)</t>
  </si>
  <si>
    <t>2.0</t>
  </si>
  <si>
    <t>Hide Revision block</t>
  </si>
  <si>
    <t>Add FAST TRACK to drop down list</t>
  </si>
  <si>
    <t>Add DVS instructions</t>
  </si>
  <si>
    <t>Barry.Raoofi@atmel.com</t>
  </si>
  <si>
    <t>Connie.Hughes@atmel.com</t>
  </si>
  <si>
    <t>Carmencita.Ibarra@atmel.com</t>
  </si>
  <si>
    <t>Chris.Palma@atmel.com</t>
  </si>
  <si>
    <t>David.Nguyen@atmel.com</t>
  </si>
  <si>
    <t>Jane.Lambert@atmel.com</t>
  </si>
  <si>
    <t>karey.klaus@atmel.com</t>
  </si>
  <si>
    <t>Laura.Limb@atmel.com</t>
  </si>
  <si>
    <t>Linda.Lorimor@atmel.com</t>
  </si>
  <si>
    <t>Mark.Fisher@atmel.com</t>
  </si>
  <si>
    <t>Mike.Flanagan@atmel.com</t>
  </si>
  <si>
    <t>Michael.S.Smith@atmel.com</t>
  </si>
  <si>
    <t>Melissa.Webber@atmel.com</t>
  </si>
  <si>
    <t>Sam.Ashman@atmel.com</t>
  </si>
  <si>
    <t>Sharon.Hall@atmel.com</t>
  </si>
  <si>
    <t>Angela.Gonzales@atmel.com</t>
  </si>
  <si>
    <t>Andy.Kovats@atmel.com</t>
  </si>
  <si>
    <t>Anthony.Moss@atmel.com</t>
  </si>
  <si>
    <t>Annabelle.Gentil@atmel.com</t>
  </si>
  <si>
    <t>Anne.Bregeon@atmel.com</t>
  </si>
  <si>
    <t>Christophe.Coulee@atmel.com</t>
  </si>
  <si>
    <t>Claudie.Vaillant@atmel.com</t>
  </si>
  <si>
    <t>Damien.Louis@atmel.com</t>
  </si>
  <si>
    <t>Daniel.Guardiola@atmel.com</t>
  </si>
  <si>
    <t>Dan.Harfert@atmel.com</t>
  </si>
  <si>
    <t>Didier.Bernardon@atmel.com</t>
  </si>
  <si>
    <t>Emmanuel.Daumain@atmel.com</t>
  </si>
  <si>
    <t>Eric.Fonteneau@atmel.com</t>
  </si>
  <si>
    <t>Francoise.Hubert@atmel.com</t>
  </si>
  <si>
    <t>Janis.Burns@atmel.com</t>
  </si>
  <si>
    <t>Jaymee.Harridge@atmel.com</t>
  </si>
  <si>
    <t xml:space="preserve">Contact Melissa Webber at </t>
  </si>
  <si>
    <t>for corrections</t>
  </si>
  <si>
    <t>Cu Wire</t>
  </si>
  <si>
    <t>Au Wire</t>
  </si>
  <si>
    <t>Al Wire</t>
  </si>
  <si>
    <t>Updated Email Lists/Added Cycle Time, Purpose, Owner Info to ABI</t>
  </si>
  <si>
    <t>Requestor/PE</t>
  </si>
  <si>
    <t>Assembly Engineering</t>
  </si>
  <si>
    <t>Planning</t>
  </si>
  <si>
    <t>Fab Code:</t>
  </si>
  <si>
    <t>Fab Code</t>
  </si>
  <si>
    <t>1-CSO</t>
  </si>
  <si>
    <t>3-RFO</t>
  </si>
  <si>
    <t>4-NTS</t>
  </si>
  <si>
    <t>5-XFAB</t>
  </si>
  <si>
    <t>6-SMIC</t>
  </si>
  <si>
    <t>7-UMC</t>
  </si>
  <si>
    <t>8-TSMC</t>
  </si>
  <si>
    <t>9-MAC</t>
  </si>
  <si>
    <t>11-DHT</t>
  </si>
  <si>
    <t>12-LFG</t>
  </si>
  <si>
    <t>13-VIS</t>
  </si>
  <si>
    <t>Tape and Reel per MP-5001</t>
  </si>
  <si>
    <t>ESD Bag or Canister</t>
  </si>
  <si>
    <t>Field used in File Name</t>
  </si>
  <si>
    <t>Field Used in File Name</t>
  </si>
  <si>
    <t>Pack and label per ATMEL Procedure MP-5003.</t>
  </si>
  <si>
    <t>A - Aut(1)-40to125C-Std Pltg w/Pb</t>
  </si>
  <si>
    <t>B - Aut(2)-40to105C-Grn(MatSn/SnA)</t>
  </si>
  <si>
    <t>C - Comm 0to70C-Std Plating</t>
  </si>
  <si>
    <t>D - Aut(0)-40to150C-Grn(MatSn/SnA)</t>
  </si>
  <si>
    <t>E -EHGr -40to125C-Std Plating w/Pb</t>
  </si>
  <si>
    <t>F - Ind(C)-40to125C-Green/MatSn</t>
  </si>
  <si>
    <t>G - Comm 0to70C-Green(NiPdAu/AA)</t>
  </si>
  <si>
    <t>H - Ind(A)-40to85C-Grn(NiPdAu/AA)</t>
  </si>
  <si>
    <t>I - Ind(A)-40to85C-Std Pltg w/Pb</t>
  </si>
  <si>
    <t>J - Aut(0)-40to150C-Grn(NiPdAu)+GF</t>
  </si>
  <si>
    <t>K - Aut(2)-40to105C-Grn(NiPdAu/AA)</t>
  </si>
  <si>
    <t>L - Comm-RoHS compliant/SnAlloy</t>
  </si>
  <si>
    <t>M - Military-Std Plating w Pb</t>
  </si>
  <si>
    <t>N - Ind(B)-40to105C-Green/MatSn</t>
  </si>
  <si>
    <t>P - HGr-40to105C-Green(NiPdAu/AA)</t>
  </si>
  <si>
    <t>Q - HGr-40to105C-Green(MatSn/SnA)</t>
  </si>
  <si>
    <t>R - Aut(1)-40to125C-Grn(NiPdAu/AA)</t>
  </si>
  <si>
    <t>S - Space-Std Plating w/ Pb</t>
  </si>
  <si>
    <t>T - Aut(3)-40to85C-Grn(MatSn/SnA)</t>
  </si>
  <si>
    <t>U - Ind(A)-40to85C-Grn(MatSn/SnA)</t>
  </si>
  <si>
    <t>V - No Temp Grade-Std Plating w/Pb</t>
  </si>
  <si>
    <t>W - No Temp Grade-Green(MatSn/SnA)</t>
  </si>
  <si>
    <t>X - Comm 0to70C-Green(MatSn/SnA)</t>
  </si>
  <si>
    <t>Y - No Temp Grade-RoHS compliant</t>
  </si>
  <si>
    <t>Z - Aut(1)-40to125C-Grn(MatSn/SnA)</t>
  </si>
  <si>
    <t>2 - Ind(D)-25to85C-Green/NiPdAu</t>
  </si>
  <si>
    <t>3 - Ind(D)-25to85C-Green/MatSn</t>
  </si>
  <si>
    <t>4 - Specific Temp-Std Plating w/Pb</t>
  </si>
  <si>
    <t>5 - Specific Temp-Green/NiPdAu</t>
  </si>
  <si>
    <t>6 - Specific Temp-Green/MatSn</t>
  </si>
  <si>
    <t>7 - Ind(B)-40to105C-Green/NiPdAu</t>
  </si>
  <si>
    <t>8 - Ind(C)-40to125C-Green/NiPdAu</t>
  </si>
  <si>
    <t>Wafer Size:</t>
  </si>
  <si>
    <t>M = Month  A = January…  L = December</t>
  </si>
  <si>
    <t>DESRV</t>
  </si>
  <si>
    <t>STANDARD CYCLE TIME</t>
  </si>
  <si>
    <t>Revenue Location</t>
  </si>
  <si>
    <t>Lot Owner (Mandatory):</t>
  </si>
  <si>
    <t>MES Lot Number</t>
  </si>
  <si>
    <t>SAP Batch Lot Number</t>
  </si>
  <si>
    <t>CPN or SAP MATERIAL:</t>
  </si>
  <si>
    <t>Revenue Loc (Mandatory):</t>
  </si>
  <si>
    <t>Packing Type:</t>
  </si>
  <si>
    <t>PMPN:</t>
  </si>
  <si>
    <t>AMPN:</t>
  </si>
  <si>
    <t>TMPN:</t>
  </si>
  <si>
    <t>FMPN:</t>
  </si>
  <si>
    <t>Scrap Excess Die/Wafers?</t>
  </si>
  <si>
    <t>Scrap</t>
  </si>
  <si>
    <t>Forecast Material?</t>
  </si>
  <si>
    <t>DL-ATK1-SUPPORT</t>
  </si>
  <si>
    <t>DL-ATK4-SUPPORT</t>
  </si>
  <si>
    <t>DL-ATP1-SUPPORT</t>
  </si>
  <si>
    <t>DL-ATP3-SUPPORT</t>
  </si>
  <si>
    <t>DL-ASECHUNGLI-SUPPORT</t>
  </si>
  <si>
    <t>DL-AIC-SUPPORT</t>
  </si>
  <si>
    <t>DL-ASEKAOHSIUNG-SUPPORT</t>
  </si>
  <si>
    <t>DL-ASEKOREA-SUPPORT</t>
  </si>
  <si>
    <t>DL-ASESHANGHAI-SUPPORT</t>
  </si>
  <si>
    <t>DL-ATC3-SUPPORT</t>
  </si>
  <si>
    <t>DL-LINGSEN-SUPPORT</t>
  </si>
  <si>
    <t>DL-UTL-SUPPORT</t>
  </si>
  <si>
    <t>SJO-DIE-BANK</t>
  </si>
  <si>
    <t>CSO-DIE-BANK</t>
  </si>
  <si>
    <t>eABI-ATP-Mail-List</t>
  </si>
  <si>
    <t>Wire Material (Mandatory):</t>
  </si>
  <si>
    <t>Process  (LTS) :</t>
  </si>
  <si>
    <t>Bond Diagram Attached:</t>
  </si>
  <si>
    <t>Process (LTS)</t>
  </si>
  <si>
    <t>ASM_Only</t>
  </si>
  <si>
    <t>ASM_TST</t>
  </si>
  <si>
    <t>ASM_TST_TR</t>
  </si>
  <si>
    <t>Marking SL</t>
  </si>
  <si>
    <t>QS</t>
  </si>
  <si>
    <t>SL</t>
  </si>
  <si>
    <t>AL</t>
  </si>
  <si>
    <t>TS</t>
  </si>
  <si>
    <t>NO, must provide instructions</t>
  </si>
  <si>
    <t>Wafer Qty</t>
  </si>
  <si>
    <t>Comments/Wafer #'s</t>
  </si>
  <si>
    <t>Name of Marking File, if attached:</t>
  </si>
  <si>
    <t>5: 2015  7: 2017       15: 2015  17: 2017       02 = Week 2</t>
  </si>
  <si>
    <t>6: 2016  8: 2018       16: 2016  18: 2018       04 =  Week 4, etc</t>
  </si>
  <si>
    <t>Vendor Code (CSO Only):</t>
  </si>
  <si>
    <t>eABI-ASESH-Mail-List</t>
  </si>
  <si>
    <t>eABI-JCAP-Mail-List</t>
  </si>
  <si>
    <t>eABI-UTL-Mail-List</t>
  </si>
  <si>
    <t>eABI-ASEKH-Mail-List</t>
  </si>
  <si>
    <t>eABI-RAD-Mail-List</t>
  </si>
  <si>
    <t>atpatmel@amkor.com</t>
  </si>
  <si>
    <t>yolanda.tirol@amkor.com</t>
  </si>
  <si>
    <t>ronald.torres@amkor.com</t>
  </si>
  <si>
    <t>asesh_at_wo_atml@aseglobal.com</t>
  </si>
  <si>
    <t>shanshan.jiang@aseus.com</t>
  </si>
  <si>
    <t>maria.andaya@aseus.com</t>
  </si>
  <si>
    <t>rena.gu@aseglobal.com</t>
  </si>
  <si>
    <t>catherine_zhang@jcap.com.cn</t>
  </si>
  <si>
    <t>nattawutma@utacgroup.com</t>
  </si>
  <si>
    <t>sichatchade@utacgroup.com</t>
  </si>
  <si>
    <t>siripornto@th.utacgroup.com</t>
  </si>
  <si>
    <t>emmelie_chen@aseglobal.com</t>
  </si>
  <si>
    <t>aseh_atm_lsi@aseglobal.com</t>
  </si>
  <si>
    <t>gen-atmel-asek@aseus.com</t>
  </si>
  <si>
    <t>tinayz_chen@aseglobal.com</t>
  </si>
  <si>
    <t>waferiqa@aseglobal.com</t>
  </si>
  <si>
    <t>elise.nielsen@aeroflex.com</t>
  </si>
  <si>
    <t>Subcon Mail List (eABI List)</t>
  </si>
  <si>
    <t>List</t>
  </si>
  <si>
    <t>Art.Mears@atmel.com</t>
  </si>
  <si>
    <t>WLCSP</t>
  </si>
  <si>
    <t>01</t>
  </si>
  <si>
    <t>Wafer Size</t>
  </si>
  <si>
    <t>UMC5</t>
  </si>
  <si>
    <t>CSO1</t>
  </si>
  <si>
    <t>TSMC</t>
  </si>
  <si>
    <t>MNC</t>
  </si>
  <si>
    <t>FG Location:</t>
  </si>
  <si>
    <t>Mark per MA-5005 (SJO Only)</t>
  </si>
  <si>
    <t>TA</t>
  </si>
  <si>
    <t>EEEE (Special Marking)</t>
  </si>
  <si>
    <t>Ship Rejected Parts  to :</t>
  </si>
  <si>
    <t xml:space="preserve"> (Optional) Return Wafer to :</t>
  </si>
  <si>
    <t>Requires Special Mark (Y/N):</t>
  </si>
  <si>
    <t>AL/C0/SL/QS/T's # + Rev:</t>
  </si>
  <si>
    <t>Test Program Qualification</t>
  </si>
  <si>
    <t>ASM Qual Lot</t>
  </si>
  <si>
    <t>9 - Aut(3)-40to85C-Green/NiPdAu</t>
  </si>
  <si>
    <t>Atmel Norway</t>
  </si>
  <si>
    <t>ACP5</t>
  </si>
  <si>
    <t>Assembly Flow (Optional):</t>
  </si>
  <si>
    <t>Process:</t>
  </si>
  <si>
    <t>TC = Trace Code (AA… ZZ)   AAAAAA = Atmel Lot Number</t>
  </si>
  <si>
    <t>Jennifer.Benger@atmel.com</t>
  </si>
  <si>
    <t>Requires Ass'y Engr Input:</t>
  </si>
  <si>
    <t>Assembly/Special Instructions</t>
  </si>
  <si>
    <t>VQFN (Punched)</t>
  </si>
  <si>
    <t>VQFN (Sawn)</t>
  </si>
  <si>
    <t>UQFN (Sawn)</t>
  </si>
  <si>
    <t>UDFN (Sawn)</t>
  </si>
  <si>
    <t>TFBGA</t>
  </si>
  <si>
    <t>TSSOP</t>
  </si>
  <si>
    <t>SIDEBRAZE</t>
  </si>
  <si>
    <t>TQFP</t>
  </si>
  <si>
    <t>XDFN</t>
  </si>
  <si>
    <t>SSOP</t>
  </si>
  <si>
    <t>PER IMS PID (RFO/NTO)</t>
  </si>
  <si>
    <t>XQFN</t>
  </si>
  <si>
    <t>sujeeta.malar@atmel.com</t>
  </si>
  <si>
    <t>logeswari.nadarajan@atmel.com</t>
  </si>
  <si>
    <t>carmencita.ibarra@atmel.com</t>
  </si>
  <si>
    <t>14-Tower Jazz (TPS5)</t>
  </si>
  <si>
    <t>15-KyeC</t>
  </si>
  <si>
    <t>MRL:</t>
  </si>
  <si>
    <t>6 inch - 150 mm</t>
  </si>
  <si>
    <t>8 inch - 200 mm</t>
  </si>
  <si>
    <t>10 inch - 250 mm</t>
  </si>
  <si>
    <t>Device/Comets#/IMS PID #:</t>
  </si>
  <si>
    <t>eABI/EBR Revision :</t>
  </si>
  <si>
    <t>Internal Device:</t>
  </si>
  <si>
    <t>Eng Sample for Customer (Can't be a Qual)</t>
  </si>
  <si>
    <t>Eng Sample for Eval (Can't be a Qual)</t>
  </si>
  <si>
    <t>FAST TRACK (ASSEMBLY ONLY-NO QUAL LOTS)</t>
  </si>
  <si>
    <t>FAST TRACK (24 HOURS)(NO QUAL LOTS)</t>
  </si>
  <si>
    <t>FAST TRACK (3 DAY)(NO QUAL LOTS)</t>
  </si>
  <si>
    <t>FAST TRACK (5 DAY) (NO QUAL LOTS)</t>
  </si>
  <si>
    <t>atmel_jcap@jcap.com.cn</t>
  </si>
  <si>
    <t>barnett.lee@atmel.com</t>
  </si>
  <si>
    <t>doug.treadwell@atmel.com</t>
  </si>
  <si>
    <t>Speed:</t>
  </si>
  <si>
    <t>KYEC</t>
  </si>
  <si>
    <t>Y = SEAL YEAR       YY = SEAL YEAR         WW = WORK WEEK</t>
  </si>
  <si>
    <t>Requires Test Pgm Approval?</t>
  </si>
  <si>
    <t>UMC</t>
  </si>
  <si>
    <t>TPS</t>
  </si>
  <si>
    <t>TSM</t>
  </si>
  <si>
    <t>SMIC</t>
  </si>
  <si>
    <t>RAD</t>
  </si>
  <si>
    <t>ASE-SH</t>
  </si>
  <si>
    <t>ASE8 - ASE SHANGHAI</t>
  </si>
  <si>
    <t>ATC5 - AMKOR ASSY&amp;TEST (Shanghai)</t>
  </si>
  <si>
    <t>ATK5 - ATK K1 SEOUL KOREA</t>
  </si>
  <si>
    <t>ATK6 - ATK K3 INCHEON KOREA</t>
  </si>
  <si>
    <t>ATK7 - ATK K4 KWANGIU KOREA</t>
  </si>
  <si>
    <t>ATP6 - ATP P1 PHILIPPINES</t>
  </si>
  <si>
    <t>ATP7 - ATP P3 PHILIPPINES</t>
  </si>
  <si>
    <t>ATP8 - AMKOR TECHNOLOGY PHILIP. P4</t>
  </si>
  <si>
    <t>ATT5 - AMKOR TECHNOLOGY TAIWAN T3</t>
  </si>
  <si>
    <t>CPC5 - STATS ChipPAC CHINA</t>
  </si>
  <si>
    <t>CPK5 - STATS ChipPAC KOREA</t>
  </si>
  <si>
    <t>CPM5 - STATS ChipPAC MALAYSIA</t>
  </si>
  <si>
    <t>CPS5 - STATS ChipPAC SINGAPORE</t>
  </si>
  <si>
    <t>FLP6 - FLIPCHIP TECHNOLOGIES</t>
  </si>
  <si>
    <t>FUJ5 - Fujitsu Micro</t>
  </si>
  <si>
    <t>GOLD - GOLDEN ALTOS USA</t>
  </si>
  <si>
    <t>GRT5 - Greatek Electronics Inc.</t>
  </si>
  <si>
    <t>JCA5 - JCAP CHINA</t>
  </si>
  <si>
    <t>JCE5 - JCET</t>
  </si>
  <si>
    <t>LBL5 - LIBERTY LAB</t>
  </si>
  <si>
    <t>LNG5 - LINGSEN TAIWAN</t>
  </si>
  <si>
    <t>SMC5 - SMIC</t>
  </si>
  <si>
    <t>STS5 - STS Semiconductors</t>
  </si>
  <si>
    <t>TSM5 - TAIWAN SEMICONDUCTOR</t>
  </si>
  <si>
    <t>UTC5 - UTAC Thai Limited</t>
  </si>
  <si>
    <t>ATC5 - AMKOR SHANGHAI</t>
  </si>
  <si>
    <t>ATP8 - ATP P4 PHILIPPINES</t>
  </si>
  <si>
    <t>ATT5 - ATT TAIWAN</t>
  </si>
  <si>
    <t>CBT5 - CHIPBOND</t>
  </si>
  <si>
    <t>CEI5 - CEI</t>
  </si>
  <si>
    <t>DEC5 - DECA TECHNOLOGIES</t>
  </si>
  <si>
    <t>FUJ5 - FUJITSU MICRO</t>
  </si>
  <si>
    <t>GDS5 - GDSI</t>
  </si>
  <si>
    <t>GRT5 - GREATEK</t>
  </si>
  <si>
    <t>HAN5 - HANA</t>
  </si>
  <si>
    <t>KYE5 - KING YUAL ELECTRONICS</t>
  </si>
  <si>
    <t>NDC5 - NEDCARD</t>
  </si>
  <si>
    <t>RAD - RAD USA</t>
  </si>
  <si>
    <t>SGT5 - SIGNETICS</t>
  </si>
  <si>
    <t>MNO5 - TSPIC CORPORATION</t>
  </si>
  <si>
    <t>TRB5 - TERAPROBE</t>
  </si>
  <si>
    <t>TST5 - TEMIC</t>
  </si>
  <si>
    <t>UTC5 - UTAC THAILAND</t>
  </si>
  <si>
    <t>UTC7 - UTAC SINGAPORE</t>
  </si>
  <si>
    <t>UTC6 - UTAC DONGGUAN</t>
  </si>
  <si>
    <t>Assembly Locations</t>
  </si>
  <si>
    <t>ATMEL HONG KONG</t>
  </si>
  <si>
    <t>ATMEL NORWAY</t>
  </si>
  <si>
    <t>ATMEL SHANGHAI</t>
  </si>
  <si>
    <t>ATMEL TAIWAN</t>
  </si>
  <si>
    <t>CSO1 - ATMEL CSO</t>
  </si>
  <si>
    <t>HNO5 - ATMEL HNO</t>
  </si>
  <si>
    <t>NTO5 - ATMEL NTO</t>
  </si>
  <si>
    <t>RFO5 - ATMEL RFO</t>
  </si>
  <si>
    <t>SJO1 - ATMEL SJO</t>
  </si>
  <si>
    <t>ACP5 - ACP Test Company</t>
  </si>
  <si>
    <t>AIC5 - AIC MALAYSIA</t>
  </si>
  <si>
    <t>ASE5 - ASE CHUNG-LI TAIWAN</t>
  </si>
  <si>
    <t>ASE6 - ASE KAOHSIUNG TAIWAN</t>
  </si>
  <si>
    <t>ASE7 - ASE MALAYSIA</t>
  </si>
  <si>
    <t>ASE8 - ASE SHANGHAI (GAPT)</t>
  </si>
  <si>
    <t>NO TEST</t>
  </si>
  <si>
    <t>Power/Voltage:</t>
  </si>
  <si>
    <t>ASE9 - ASE TAIWAN</t>
  </si>
  <si>
    <t>Requestor_LOC</t>
  </si>
  <si>
    <t>ACP</t>
  </si>
  <si>
    <t>ATMEL_HK</t>
  </si>
  <si>
    <t>ATMEL_NOR</t>
  </si>
  <si>
    <t>ATMEL_SH</t>
  </si>
  <si>
    <t>ATMEL_TAIWAN</t>
  </si>
  <si>
    <t>Ver. 4.2</t>
  </si>
  <si>
    <t>mbw 6-16-15</t>
  </si>
  <si>
    <t>ALL PACKAGE QUALIFICATION LOTS MUST BE ROUTED</t>
  </si>
  <si>
    <t>THROUGH PENANG QA &amp; ASSEMBLY ENGINEERING TEAM</t>
  </si>
  <si>
    <t xml:space="preserve">DL-EBR-ABI@atmel.com </t>
  </si>
  <si>
    <t>If No, when will it be available:</t>
  </si>
  <si>
    <t>ASE6 - ASE KAOHSIUNG</t>
  </si>
  <si>
    <t>NPI=RUN Customer Sample</t>
  </si>
</sst>
</file>

<file path=xl/styles.xml><?xml version="1.0" encoding="utf-8"?>
<styleSheet xmlns="http://schemas.openxmlformats.org/spreadsheetml/2006/main">
  <numFmts count="2">
    <numFmt numFmtId="164" formatCode="&quot;$&quot;#,##0.00"/>
    <numFmt numFmtId="165" formatCode="[$-409]mmmm\ d\,\ yyyy;@"/>
  </numFmts>
  <fonts count="4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u/>
      <sz val="16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i/>
      <sz val="10"/>
      <color indexed="10"/>
      <name val="Arial"/>
      <family val="2"/>
    </font>
    <font>
      <b/>
      <u/>
      <sz val="12"/>
      <name val="Arial"/>
      <family val="2"/>
    </font>
    <font>
      <b/>
      <i/>
      <sz val="10"/>
      <name val="Arial"/>
      <family val="2"/>
    </font>
    <font>
      <sz val="10"/>
      <color indexed="12"/>
      <name val="Arial"/>
      <family val="2"/>
    </font>
    <font>
      <i/>
      <sz val="10"/>
      <color indexed="9"/>
      <name val="Arial"/>
      <family val="2"/>
    </font>
    <font>
      <sz val="7"/>
      <name val="Arial"/>
      <family val="2"/>
    </font>
    <font>
      <b/>
      <i/>
      <sz val="16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u/>
      <sz val="10"/>
      <color indexed="43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10"/>
      <name val="Tahoma"/>
      <family val="2"/>
    </font>
    <font>
      <b/>
      <i/>
      <sz val="16"/>
      <color indexed="10"/>
      <name val="Arial"/>
      <family val="2"/>
    </font>
    <font>
      <b/>
      <sz val="11"/>
      <color indexed="81"/>
      <name val="Tahoma"/>
      <family val="2"/>
    </font>
    <font>
      <sz val="12"/>
      <name val="Arial"/>
      <family val="2"/>
    </font>
    <font>
      <u/>
      <sz val="18"/>
      <name val="Arial"/>
      <family val="2"/>
    </font>
    <font>
      <b/>
      <sz val="10"/>
      <name val="Arial"/>
      <family val="2"/>
    </font>
    <font>
      <b/>
      <i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indexed="12"/>
      <name val="Arial"/>
      <family val="2"/>
    </font>
    <font>
      <sz val="9"/>
      <color indexed="8"/>
      <name val="Arial"/>
      <family val="2"/>
    </font>
    <font>
      <sz val="10"/>
      <color theme="0" tint="-4.9989318521683403E-2"/>
      <name val="Arial"/>
      <family val="2"/>
    </font>
    <font>
      <b/>
      <i/>
      <sz val="12"/>
      <color theme="0" tint="-4.9989318521683403E-2"/>
      <name val="Arial"/>
      <family val="2"/>
    </font>
    <font>
      <sz val="9"/>
      <color theme="0" tint="-4.9989318521683403E-2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10"/>
      <color theme="0" tint="-0.14999847407452621"/>
      <name val="Arial"/>
      <family val="2"/>
    </font>
    <font>
      <b/>
      <sz val="16"/>
      <color rgb="FF0000FF"/>
      <name val="Arial"/>
      <family val="2"/>
    </font>
    <font>
      <b/>
      <sz val="16"/>
      <color rgb="FF008000"/>
      <name val="Arial"/>
      <family val="2"/>
    </font>
    <font>
      <b/>
      <sz val="8"/>
      <color rgb="FFC0C0C0"/>
      <name val="Arial"/>
      <family val="2"/>
    </font>
    <font>
      <b/>
      <sz val="8"/>
      <color rgb="FF969696"/>
      <name val="Arial"/>
      <family val="2"/>
    </font>
    <font>
      <b/>
      <sz val="8"/>
      <name val="Arial"/>
      <family val="2"/>
    </font>
    <font>
      <b/>
      <i/>
      <sz val="10"/>
      <color rgb="FFFF0000"/>
      <name val="Arial"/>
      <family val="2"/>
    </font>
    <font>
      <b/>
      <sz val="9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5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1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/>
    <xf numFmtId="0" fontId="2" fillId="0" borderId="2" xfId="0" applyFont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Border="1"/>
    <xf numFmtId="0" fontId="6" fillId="0" borderId="3" xfId="0" applyFont="1" applyFill="1" applyBorder="1" applyAlignment="1"/>
    <xf numFmtId="0" fontId="6" fillId="0" borderId="1" xfId="0" applyFont="1" applyFill="1" applyBorder="1" applyAlignment="1"/>
    <xf numFmtId="0" fontId="2" fillId="0" borderId="4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8" fillId="0" borderId="6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wrapText="1"/>
    </xf>
    <xf numFmtId="0" fontId="15" fillId="0" borderId="0" xfId="1" applyFont="1" applyBorder="1" applyAlignment="1" applyProtection="1">
      <alignment horizontal="left"/>
    </xf>
    <xf numFmtId="14" fontId="0" fillId="0" borderId="0" xfId="0" applyNumberFormat="1" applyBorder="1" applyAlignment="1">
      <alignment horizontal="left"/>
    </xf>
    <xf numFmtId="0" fontId="2" fillId="0" borderId="7" xfId="0" applyFont="1" applyBorder="1" applyAlignment="1">
      <alignment horizontal="center" wrapText="1"/>
    </xf>
    <xf numFmtId="0" fontId="6" fillId="0" borderId="0" xfId="0" applyFont="1" applyFill="1" applyBorder="1" applyAlignment="1"/>
    <xf numFmtId="0" fontId="0" fillId="2" borderId="8" xfId="0" applyFill="1" applyBorder="1"/>
    <xf numFmtId="0" fontId="0" fillId="2" borderId="0" xfId="0" applyFill="1" applyBorder="1"/>
    <xf numFmtId="0" fontId="0" fillId="2" borderId="1" xfId="0" applyFill="1" applyBorder="1"/>
    <xf numFmtId="0" fontId="0" fillId="2" borderId="6" xfId="0" applyFill="1" applyBorder="1" applyAlignment="1">
      <alignment horizontal="center"/>
    </xf>
    <xf numFmtId="0" fontId="11" fillId="2" borderId="6" xfId="1" applyFill="1" applyBorder="1" applyAlignment="1" applyProtection="1">
      <alignment horizontal="center"/>
    </xf>
    <xf numFmtId="0" fontId="9" fillId="0" borderId="0" xfId="0" applyFont="1" applyBorder="1" applyAlignment="1"/>
    <xf numFmtId="0" fontId="0" fillId="2" borderId="4" xfId="0" applyFill="1" applyBorder="1"/>
    <xf numFmtId="0" fontId="4" fillId="0" borderId="9" xfId="0" applyFont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17" fillId="0" borderId="0" xfId="0" applyFont="1" applyBorder="1"/>
    <xf numFmtId="0" fontId="0" fillId="2" borderId="3" xfId="0" applyFill="1" applyBorder="1"/>
    <xf numFmtId="0" fontId="5" fillId="0" borderId="0" xfId="0" applyFont="1" applyAlignment="1">
      <alignment horizontal="left" vertical="center" wrapText="1"/>
    </xf>
    <xf numFmtId="0" fontId="2" fillId="0" borderId="11" xfId="0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0" fontId="4" fillId="0" borderId="13" xfId="0" applyFont="1" applyBorder="1" applyAlignment="1">
      <alignment horizontal="right"/>
    </xf>
    <xf numFmtId="0" fontId="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2" fillId="0" borderId="0" xfId="0" applyFont="1" applyFill="1" applyBorder="1" applyAlignment="1">
      <alignment horizontal="right"/>
    </xf>
    <xf numFmtId="0" fontId="4" fillId="0" borderId="13" xfId="0" applyFont="1" applyFill="1" applyBorder="1" applyAlignment="1">
      <alignment horizontal="right"/>
    </xf>
    <xf numFmtId="0" fontId="4" fillId="0" borderId="9" xfId="0" applyFont="1" applyFill="1" applyBorder="1" applyAlignment="1">
      <alignment horizontal="right"/>
    </xf>
    <xf numFmtId="0" fontId="0" fillId="2" borderId="10" xfId="0" applyFill="1" applyBorder="1"/>
    <xf numFmtId="0" fontId="18" fillId="0" borderId="0" xfId="0" applyFont="1" applyAlignment="1">
      <alignment horizontal="center"/>
    </xf>
    <xf numFmtId="0" fontId="15" fillId="0" borderId="0" xfId="1" applyFont="1" applyFill="1" applyBorder="1" applyAlignment="1" applyProtection="1"/>
    <xf numFmtId="0" fontId="0" fillId="2" borderId="14" xfId="0" applyFill="1" applyBorder="1"/>
    <xf numFmtId="0" fontId="11" fillId="3" borderId="0" xfId="1" applyFill="1" applyBorder="1" applyAlignment="1" applyProtection="1"/>
    <xf numFmtId="0" fontId="11" fillId="3" borderId="14" xfId="1" applyFill="1" applyBorder="1" applyAlignment="1" applyProtection="1"/>
    <xf numFmtId="0" fontId="3" fillId="0" borderId="4" xfId="0" applyFont="1" applyFill="1" applyBorder="1"/>
    <xf numFmtId="0" fontId="0" fillId="0" borderId="8" xfId="0" applyFill="1" applyBorder="1"/>
    <xf numFmtId="0" fontId="3" fillId="0" borderId="5" xfId="0" applyFont="1" applyFill="1" applyBorder="1"/>
    <xf numFmtId="0" fontId="0" fillId="0" borderId="10" xfId="0" applyFill="1" applyBorder="1"/>
    <xf numFmtId="0" fontId="0" fillId="0" borderId="0" xfId="0" applyProtection="1"/>
    <xf numFmtId="0" fontId="18" fillId="0" borderId="0" xfId="0" applyFont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2" xfId="0" applyBorder="1" applyProtection="1"/>
    <xf numFmtId="0" fontId="0" fillId="0" borderId="3" xfId="0" applyBorder="1" applyProtection="1"/>
    <xf numFmtId="0" fontId="0" fillId="0" borderId="3" xfId="0" applyBorder="1" applyAlignment="1" applyProtection="1">
      <alignment horizontal="right"/>
    </xf>
    <xf numFmtId="0" fontId="0" fillId="0" borderId="1" xfId="0" applyBorder="1" applyProtection="1"/>
    <xf numFmtId="0" fontId="2" fillId="0" borderId="9" xfId="0" applyFont="1" applyBorder="1" applyAlignment="1" applyProtection="1">
      <alignment horizontal="right"/>
    </xf>
    <xf numFmtId="0" fontId="0" fillId="2" borderId="15" xfId="0" applyFill="1" applyBorder="1" applyAlignment="1" applyProtection="1">
      <alignment horizontal="left"/>
    </xf>
    <xf numFmtId="0" fontId="0" fillId="0" borderId="0" xfId="0" quotePrefix="1" applyBorder="1" applyProtection="1"/>
    <xf numFmtId="0" fontId="0" fillId="0" borderId="0" xfId="0" applyBorder="1" applyProtection="1"/>
    <xf numFmtId="0" fontId="2" fillId="0" borderId="15" xfId="0" applyFont="1" applyBorder="1" applyAlignment="1" applyProtection="1">
      <alignment horizontal="right"/>
    </xf>
    <xf numFmtId="0" fontId="0" fillId="0" borderId="4" xfId="0" applyBorder="1" applyProtection="1"/>
    <xf numFmtId="0" fontId="0" fillId="0" borderId="5" xfId="0" applyBorder="1" applyProtection="1"/>
    <xf numFmtId="0" fontId="0" fillId="0" borderId="14" xfId="0" applyBorder="1" applyProtection="1"/>
    <xf numFmtId="0" fontId="0" fillId="0" borderId="14" xfId="0" applyBorder="1" applyAlignment="1" applyProtection="1">
      <alignment horizontal="right"/>
    </xf>
    <xf numFmtId="0" fontId="0" fillId="0" borderId="10" xfId="0" applyBorder="1" applyProtection="1"/>
    <xf numFmtId="0" fontId="0" fillId="2" borderId="9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center"/>
    </xf>
    <xf numFmtId="0" fontId="0" fillId="2" borderId="17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left"/>
    </xf>
    <xf numFmtId="0" fontId="4" fillId="0" borderId="13" xfId="0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4" fillId="0" borderId="19" xfId="0" applyFont="1" applyBorder="1" applyAlignment="1" applyProtection="1">
      <alignment horizontal="right"/>
    </xf>
    <xf numFmtId="0" fontId="0" fillId="2" borderId="1" xfId="0" applyFill="1" applyBorder="1" applyAlignment="1">
      <alignment horizontal="left"/>
    </xf>
    <xf numFmtId="0" fontId="11" fillId="2" borderId="8" xfId="1" applyFill="1" applyBorder="1" applyAlignment="1" applyProtection="1">
      <alignment horizontal="left"/>
    </xf>
    <xf numFmtId="0" fontId="0" fillId="2" borderId="8" xfId="0" applyFill="1" applyBorder="1" applyAlignment="1">
      <alignment horizontal="left"/>
    </xf>
    <xf numFmtId="0" fontId="0" fillId="4" borderId="8" xfId="0" applyFill="1" applyBorder="1" applyAlignment="1" applyProtection="1">
      <alignment horizontal="left"/>
      <protection locked="0"/>
    </xf>
    <xf numFmtId="0" fontId="4" fillId="0" borderId="9" xfId="0" applyFont="1" applyFill="1" applyBorder="1" applyAlignment="1" applyProtection="1">
      <alignment horizontal="right"/>
    </xf>
    <xf numFmtId="0" fontId="19" fillId="0" borderId="6" xfId="0" applyFont="1" applyFill="1" applyBorder="1" applyAlignment="1">
      <alignment horizontal="center"/>
    </xf>
    <xf numFmtId="0" fontId="19" fillId="0" borderId="20" xfId="0" applyFont="1" applyFill="1" applyBorder="1" applyAlignment="1">
      <alignment horizontal="center"/>
    </xf>
    <xf numFmtId="0" fontId="1" fillId="4" borderId="1" xfId="1" applyFont="1" applyFill="1" applyBorder="1" applyAlignment="1" applyProtection="1">
      <alignment horizontal="left"/>
      <protection locked="0"/>
    </xf>
    <xf numFmtId="0" fontId="1" fillId="4" borderId="8" xfId="1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>
      <alignment horizontal="center"/>
    </xf>
    <xf numFmtId="165" fontId="0" fillId="2" borderId="16" xfId="0" applyNumberFormat="1" applyFill="1" applyBorder="1" applyAlignment="1" applyProtection="1">
      <alignment horizontal="left"/>
    </xf>
    <xf numFmtId="165" fontId="1" fillId="4" borderId="10" xfId="0" applyNumberFormat="1" applyFont="1" applyFill="1" applyBorder="1" applyAlignment="1" applyProtection="1">
      <alignment horizontal="left"/>
      <protection locked="0"/>
    </xf>
    <xf numFmtId="0" fontId="12" fillId="0" borderId="7" xfId="0" applyFont="1" applyFill="1" applyBorder="1" applyAlignment="1">
      <alignment horizontal="center"/>
    </xf>
    <xf numFmtId="164" fontId="0" fillId="2" borderId="10" xfId="0" applyNumberFormat="1" applyFill="1" applyBorder="1" applyAlignment="1">
      <alignment horizontal="left"/>
    </xf>
    <xf numFmtId="0" fontId="2" fillId="0" borderId="13" xfId="0" applyFont="1" applyBorder="1" applyAlignment="1" applyProtection="1">
      <alignment horizontal="center"/>
    </xf>
    <xf numFmtId="0" fontId="2" fillId="0" borderId="21" xfId="0" applyFont="1" applyBorder="1" applyAlignment="1" applyProtection="1">
      <alignment horizontal="center"/>
    </xf>
    <xf numFmtId="0" fontId="2" fillId="0" borderId="22" xfId="0" applyFont="1" applyBorder="1" applyAlignment="1" applyProtection="1">
      <alignment horizontal="center"/>
    </xf>
    <xf numFmtId="0" fontId="21" fillId="0" borderId="0" xfId="1" applyFont="1" applyFill="1" applyAlignment="1" applyProtection="1">
      <alignment horizontal="left"/>
    </xf>
    <xf numFmtId="0" fontId="11" fillId="2" borderId="0" xfId="1" applyFill="1" applyBorder="1" applyAlignment="1" applyProtection="1"/>
    <xf numFmtId="0" fontId="16" fillId="5" borderId="7" xfId="0" applyFont="1" applyFill="1" applyBorder="1"/>
    <xf numFmtId="0" fontId="16" fillId="5" borderId="20" xfId="0" applyFont="1" applyFill="1" applyBorder="1"/>
    <xf numFmtId="165" fontId="0" fillId="4" borderId="8" xfId="0" applyNumberForma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>
      <alignment horizontal="center"/>
    </xf>
    <xf numFmtId="0" fontId="11" fillId="2" borderId="23" xfId="1" applyFont="1" applyFill="1" applyBorder="1" applyAlignment="1" applyProtection="1">
      <alignment horizontal="left"/>
    </xf>
    <xf numFmtId="0" fontId="11" fillId="2" borderId="4" xfId="1" applyFill="1" applyBorder="1" applyAlignment="1" applyProtection="1">
      <protection locked="0"/>
    </xf>
    <xf numFmtId="165" fontId="0" fillId="2" borderId="15" xfId="0" applyNumberFormat="1" applyFill="1" applyBorder="1" applyAlignment="1" applyProtection="1">
      <alignment horizontal="left"/>
    </xf>
    <xf numFmtId="0" fontId="0" fillId="3" borderId="0" xfId="0" applyFill="1" applyBorder="1"/>
    <xf numFmtId="0" fontId="0" fillId="3" borderId="20" xfId="0" applyFill="1" applyBorder="1"/>
    <xf numFmtId="0" fontId="17" fillId="0" borderId="0" xfId="0" applyFont="1" applyFill="1" applyBorder="1"/>
    <xf numFmtId="0" fontId="20" fillId="0" borderId="4" xfId="0" applyFont="1" applyBorder="1" applyAlignment="1">
      <alignment horizontal="right"/>
    </xf>
    <xf numFmtId="0" fontId="4" fillId="0" borderId="19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2" borderId="4" xfId="1" applyFont="1" applyFill="1" applyBorder="1" applyAlignment="1" applyProtection="1">
      <protection locked="0"/>
    </xf>
    <xf numFmtId="0" fontId="17" fillId="0" borderId="0" xfId="0" applyFont="1" applyBorder="1" applyAlignment="1">
      <alignment horizontal="right"/>
    </xf>
    <xf numFmtId="0" fontId="11" fillId="4" borderId="10" xfId="1" applyFill="1" applyBorder="1" applyAlignment="1" applyProtection="1">
      <alignment horizontal="left"/>
      <protection locked="0"/>
    </xf>
    <xf numFmtId="0" fontId="14" fillId="0" borderId="0" xfId="0" applyFont="1" applyFill="1" applyBorder="1" applyAlignment="1">
      <alignment horizontal="center" wrapText="1"/>
    </xf>
    <xf numFmtId="0" fontId="8" fillId="0" borderId="7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1" fillId="0" borderId="6" xfId="1" applyFill="1" applyBorder="1" applyAlignment="1" applyProtection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11" fillId="0" borderId="6" xfId="1" applyFill="1" applyBorder="1" applyAlignment="1" applyProtection="1">
      <alignment horizontal="center" wrapText="1"/>
    </xf>
    <xf numFmtId="0" fontId="3" fillId="0" borderId="1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1" fillId="0" borderId="24" xfId="1" applyFill="1" applyBorder="1" applyAlignment="1" applyProtection="1">
      <protection locked="0"/>
    </xf>
    <xf numFmtId="0" fontId="0" fillId="0" borderId="6" xfId="0" applyFill="1" applyBorder="1" applyAlignment="1">
      <alignment horizontal="center"/>
    </xf>
    <xf numFmtId="0" fontId="4" fillId="0" borderId="17" xfId="0" applyFont="1" applyBorder="1" applyAlignment="1">
      <alignment horizontal="right"/>
    </xf>
    <xf numFmtId="0" fontId="11" fillId="0" borderId="0" xfId="1" applyAlignment="1" applyProtection="1"/>
    <xf numFmtId="0" fontId="11" fillId="0" borderId="6" xfId="1" applyBorder="1" applyAlignment="1" applyProtection="1">
      <alignment horizontal="center"/>
    </xf>
    <xf numFmtId="0" fontId="12" fillId="0" borderId="7" xfId="0" applyFont="1" applyFill="1" applyBorder="1" applyAlignment="1">
      <alignment horizontal="center" wrapText="1"/>
    </xf>
    <xf numFmtId="0" fontId="0" fillId="6" borderId="25" xfId="0" applyFill="1" applyBorder="1" applyAlignment="1">
      <alignment horizontal="left"/>
    </xf>
    <xf numFmtId="0" fontId="0" fillId="6" borderId="26" xfId="0" applyFill="1" applyBorder="1" applyAlignment="1">
      <alignment horizontal="center"/>
    </xf>
    <xf numFmtId="14" fontId="0" fillId="6" borderId="15" xfId="0" applyNumberForma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14" fontId="0" fillId="6" borderId="27" xfId="0" applyNumberForma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11" xfId="0" applyFill="1" applyBorder="1"/>
    <xf numFmtId="0" fontId="0" fillId="6" borderId="29" xfId="0" applyFill="1" applyBorder="1"/>
    <xf numFmtId="0" fontId="0" fillId="6" borderId="30" xfId="0" applyFill="1" applyBorder="1"/>
    <xf numFmtId="0" fontId="0" fillId="6" borderId="5" xfId="0" applyFill="1" applyBorder="1"/>
    <xf numFmtId="0" fontId="0" fillId="6" borderId="14" xfId="0" applyFill="1" applyBorder="1"/>
    <xf numFmtId="14" fontId="0" fillId="6" borderId="31" xfId="0" applyNumberFormat="1" applyFill="1" applyBorder="1" applyAlignment="1">
      <alignment horizontal="center"/>
    </xf>
    <xf numFmtId="0" fontId="0" fillId="6" borderId="32" xfId="0" quotePrefix="1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" fillId="0" borderId="0" xfId="0" applyFont="1" applyAlignment="1">
      <alignment horizontal="center"/>
    </xf>
    <xf numFmtId="0" fontId="11" fillId="5" borderId="6" xfId="1" applyFill="1" applyBorder="1" applyAlignment="1" applyProtection="1"/>
    <xf numFmtId="0" fontId="0" fillId="6" borderId="25" xfId="0" applyFill="1" applyBorder="1"/>
    <xf numFmtId="0" fontId="0" fillId="6" borderId="26" xfId="0" applyFill="1" applyBorder="1"/>
    <xf numFmtId="0" fontId="0" fillId="6" borderId="16" xfId="0" quotePrefix="1" applyFill="1" applyBorder="1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29" xfId="0" applyFill="1" applyBorder="1" applyAlignment="1">
      <alignment horizontal="center"/>
    </xf>
    <xf numFmtId="14" fontId="0" fillId="6" borderId="33" xfId="0" applyNumberForma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29" fillId="6" borderId="35" xfId="0" applyFont="1" applyFill="1" applyBorder="1" applyAlignment="1">
      <alignment horizontal="left"/>
    </xf>
    <xf numFmtId="0" fontId="29" fillId="6" borderId="36" xfId="0" applyFont="1" applyFill="1" applyBorder="1" applyAlignment="1">
      <alignment horizontal="center"/>
    </xf>
    <xf numFmtId="0" fontId="29" fillId="6" borderId="37" xfId="0" applyFont="1" applyFill="1" applyBorder="1" applyAlignment="1">
      <alignment horizontal="center"/>
    </xf>
    <xf numFmtId="0" fontId="29" fillId="6" borderId="38" xfId="0" applyFont="1" applyFill="1" applyBorder="1" applyAlignment="1">
      <alignment horizontal="center"/>
    </xf>
    <xf numFmtId="0" fontId="8" fillId="7" borderId="22" xfId="0" applyFont="1" applyFill="1" applyBorder="1" applyAlignment="1" applyProtection="1">
      <alignment horizontal="center"/>
      <protection locked="0"/>
    </xf>
    <xf numFmtId="0" fontId="0" fillId="8" borderId="10" xfId="0" applyFill="1" applyBorder="1"/>
    <xf numFmtId="0" fontId="3" fillId="7" borderId="0" xfId="0" applyFont="1" applyFill="1" applyBorder="1" applyAlignment="1">
      <alignment horizontal="left"/>
    </xf>
    <xf numFmtId="49" fontId="3" fillId="8" borderId="0" xfId="0" applyNumberFormat="1" applyFont="1" applyFill="1" applyBorder="1" applyAlignment="1" applyProtection="1">
      <alignment horizontal="left"/>
      <protection locked="0"/>
    </xf>
    <xf numFmtId="165" fontId="3" fillId="4" borderId="0" xfId="0" applyNumberFormat="1" applyFont="1" applyFill="1" applyBorder="1" applyAlignment="1" applyProtection="1">
      <alignment horizontal="left"/>
      <protection locked="0"/>
    </xf>
    <xf numFmtId="0" fontId="0" fillId="7" borderId="6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11" fillId="7" borderId="6" xfId="1" applyFill="1" applyBorder="1" applyAlignment="1" applyProtection="1">
      <alignment horizontal="center"/>
      <protection locked="0"/>
    </xf>
    <xf numFmtId="0" fontId="11" fillId="7" borderId="20" xfId="1" applyFill="1" applyBorder="1" applyAlignment="1" applyProtection="1">
      <alignment horizontal="center"/>
      <protection locked="0"/>
    </xf>
    <xf numFmtId="0" fontId="11" fillId="4" borderId="6" xfId="1" applyFill="1" applyBorder="1" applyAlignment="1" applyProtection="1">
      <alignment horizontal="center"/>
      <protection locked="0"/>
    </xf>
    <xf numFmtId="0" fontId="11" fillId="4" borderId="20" xfId="1" applyFill="1" applyBorder="1" applyAlignment="1" applyProtection="1">
      <alignment horizontal="center"/>
      <protection locked="0"/>
    </xf>
    <xf numFmtId="0" fontId="11" fillId="8" borderId="6" xfId="1" applyFill="1" applyBorder="1" applyAlignment="1" applyProtection="1">
      <alignment horizontal="center"/>
      <protection locked="0"/>
    </xf>
    <xf numFmtId="0" fontId="4" fillId="0" borderId="39" xfId="0" applyFont="1" applyBorder="1" applyAlignment="1">
      <alignment horizontal="right"/>
    </xf>
    <xf numFmtId="0" fontId="0" fillId="9" borderId="0" xfId="0" applyFill="1" applyAlignment="1"/>
    <xf numFmtId="0" fontId="0" fillId="9" borderId="0" xfId="0" applyFill="1"/>
    <xf numFmtId="0" fontId="30" fillId="0" borderId="2" xfId="0" applyFont="1" applyBorder="1" applyProtection="1"/>
    <xf numFmtId="0" fontId="30" fillId="0" borderId="4" xfId="0" applyFont="1" applyBorder="1" applyProtection="1"/>
    <xf numFmtId="0" fontId="30" fillId="0" borderId="5" xfId="0" applyFont="1" applyBorder="1" applyProtection="1"/>
    <xf numFmtId="0" fontId="1" fillId="0" borderId="6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1" fillId="2" borderId="5" xfId="0" applyFont="1" applyFill="1" applyBorder="1"/>
    <xf numFmtId="0" fontId="0" fillId="2" borderId="19" xfId="0" applyFill="1" applyBorder="1" applyAlignment="1" applyProtection="1">
      <alignment horizontal="center"/>
    </xf>
    <xf numFmtId="0" fontId="4" fillId="10" borderId="9" xfId="0" applyFont="1" applyFill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5" fillId="11" borderId="2" xfId="0" applyFont="1" applyFill="1" applyBorder="1" applyAlignment="1">
      <alignment horizontal="right"/>
    </xf>
    <xf numFmtId="0" fontId="36" fillId="11" borderId="3" xfId="0" applyFont="1" applyFill="1" applyBorder="1"/>
    <xf numFmtId="0" fontId="35" fillId="11" borderId="3" xfId="0" applyFont="1" applyFill="1" applyBorder="1"/>
    <xf numFmtId="0" fontId="35" fillId="11" borderId="1" xfId="0" applyFont="1" applyFill="1" applyBorder="1"/>
    <xf numFmtId="0" fontId="35" fillId="11" borderId="4" xfId="0" applyFont="1" applyFill="1" applyBorder="1"/>
    <xf numFmtId="0" fontId="35" fillId="11" borderId="0" xfId="0" applyFont="1" applyFill="1" applyBorder="1"/>
    <xf numFmtId="0" fontId="35" fillId="11" borderId="8" xfId="0" applyFont="1" applyFill="1" applyBorder="1"/>
    <xf numFmtId="0" fontId="37" fillId="11" borderId="13" xfId="0" applyFont="1" applyFill="1" applyBorder="1"/>
    <xf numFmtId="0" fontId="37" fillId="11" borderId="22" xfId="0" applyFont="1" applyFill="1" applyBorder="1" applyAlignment="1" applyProtection="1">
      <alignment horizontal="center"/>
    </xf>
    <xf numFmtId="0" fontId="37" fillId="11" borderId="3" xfId="0" applyFont="1" applyFill="1" applyBorder="1"/>
    <xf numFmtId="0" fontId="37" fillId="11" borderId="22" xfId="0" applyFont="1" applyFill="1" applyBorder="1" applyAlignment="1" applyProtection="1">
      <alignment horizontal="center"/>
      <protection locked="0"/>
    </xf>
    <xf numFmtId="0" fontId="37" fillId="11" borderId="9" xfId="0" applyFont="1" applyFill="1" applyBorder="1"/>
    <xf numFmtId="0" fontId="37" fillId="11" borderId="16" xfId="0" applyFont="1" applyFill="1" applyBorder="1" applyAlignment="1" applyProtection="1">
      <alignment horizontal="center"/>
    </xf>
    <xf numFmtId="0" fontId="37" fillId="11" borderId="0" xfId="0" applyFont="1" applyFill="1" applyBorder="1"/>
    <xf numFmtId="0" fontId="37" fillId="11" borderId="16" xfId="0" applyFont="1" applyFill="1" applyBorder="1" applyAlignment="1" applyProtection="1">
      <alignment horizontal="center"/>
      <protection locked="0"/>
    </xf>
    <xf numFmtId="0" fontId="37" fillId="11" borderId="16" xfId="0" applyFont="1" applyFill="1" applyBorder="1" applyAlignment="1" applyProtection="1">
      <alignment horizontal="left"/>
    </xf>
    <xf numFmtId="0" fontId="37" fillId="11" borderId="19" xfId="0" applyFont="1" applyFill="1" applyBorder="1"/>
    <xf numFmtId="0" fontId="37" fillId="11" borderId="18" xfId="0" applyFont="1" applyFill="1" applyBorder="1" applyAlignment="1" applyProtection="1">
      <alignment horizontal="center"/>
      <protection locked="0"/>
    </xf>
    <xf numFmtId="0" fontId="35" fillId="11" borderId="14" xfId="0" applyFont="1" applyFill="1" applyBorder="1"/>
    <xf numFmtId="0" fontId="4" fillId="0" borderId="19" xfId="0" applyFont="1" applyBorder="1" applyAlignment="1">
      <alignment horizontal="right"/>
    </xf>
    <xf numFmtId="0" fontId="4" fillId="0" borderId="39" xfId="0" applyFont="1" applyFill="1" applyBorder="1" applyAlignment="1">
      <alignment horizontal="right"/>
    </xf>
    <xf numFmtId="0" fontId="4" fillId="0" borderId="19" xfId="0" applyFont="1" applyFill="1" applyBorder="1" applyAlignment="1">
      <alignment horizontal="right"/>
    </xf>
    <xf numFmtId="0" fontId="4" fillId="0" borderId="9" xfId="0" applyFont="1" applyBorder="1" applyAlignment="1">
      <alignment horizontal="right"/>
    </xf>
    <xf numFmtId="0" fontId="4" fillId="0" borderId="9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4" fillId="0" borderId="21" xfId="0" applyFont="1" applyFill="1" applyBorder="1" applyAlignment="1" applyProtection="1">
      <alignment horizontal="center"/>
      <protection locked="0"/>
    </xf>
    <xf numFmtId="0" fontId="4" fillId="0" borderId="21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0" fontId="4" fillId="0" borderId="21" xfId="0" applyFont="1" applyBorder="1" applyAlignment="1">
      <alignment horizontal="right"/>
    </xf>
    <xf numFmtId="0" fontId="4" fillId="0" borderId="15" xfId="0" applyFont="1" applyBorder="1" applyAlignment="1">
      <alignment horizontal="right"/>
    </xf>
    <xf numFmtId="0" fontId="8" fillId="8" borderId="5" xfId="0" applyFont="1" applyFill="1" applyBorder="1" applyAlignment="1" applyProtection="1">
      <alignment horizontal="left"/>
      <protection locked="0"/>
    </xf>
    <xf numFmtId="0" fontId="8" fillId="0" borderId="0" xfId="0" applyFont="1"/>
    <xf numFmtId="0" fontId="8" fillId="0" borderId="0" xfId="0" applyFont="1" applyBorder="1"/>
    <xf numFmtId="0" fontId="8" fillId="8" borderId="16" xfId="0" applyFont="1" applyFill="1" applyBorder="1" applyAlignment="1" applyProtection="1">
      <alignment horizontal="left"/>
      <protection locked="0"/>
    </xf>
    <xf numFmtId="0" fontId="8" fillId="7" borderId="16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>
      <alignment horizontal="left"/>
    </xf>
    <xf numFmtId="0" fontId="8" fillId="7" borderId="18" xfId="0" applyFont="1" applyFill="1" applyBorder="1" applyAlignment="1" applyProtection="1">
      <alignment horizontal="center"/>
      <protection locked="0"/>
    </xf>
    <xf numFmtId="0" fontId="8" fillId="8" borderId="10" xfId="0" applyFont="1" applyFill="1" applyBorder="1" applyAlignment="1" applyProtection="1">
      <alignment horizontal="left"/>
      <protection locked="0"/>
    </xf>
    <xf numFmtId="0" fontId="8" fillId="0" borderId="0" xfId="0" applyFont="1" applyAlignment="1">
      <alignment horizontal="right"/>
    </xf>
    <xf numFmtId="0" fontId="8" fillId="0" borderId="0" xfId="0" applyFont="1" applyProtection="1">
      <protection locked="0"/>
    </xf>
    <xf numFmtId="0" fontId="4" fillId="0" borderId="11" xfId="0" applyFont="1" applyBorder="1" applyAlignment="1">
      <alignment horizontal="right"/>
    </xf>
    <xf numFmtId="0" fontId="9" fillId="0" borderId="0" xfId="0" applyFont="1" applyBorder="1"/>
    <xf numFmtId="0" fontId="33" fillId="4" borderId="22" xfId="1" applyFont="1" applyFill="1" applyBorder="1" applyAlignment="1" applyProtection="1">
      <alignment horizontal="center"/>
      <protection locked="0"/>
    </xf>
    <xf numFmtId="0" fontId="4" fillId="0" borderId="0" xfId="0" applyFont="1"/>
    <xf numFmtId="0" fontId="8" fillId="8" borderId="18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/>
    <xf numFmtId="0" fontId="8" fillId="7" borderId="39" xfId="0" applyFont="1" applyFill="1" applyBorder="1" applyAlignment="1" applyProtection="1">
      <alignment horizontal="center"/>
      <protection locked="0"/>
    </xf>
    <xf numFmtId="0" fontId="8" fillId="7" borderId="33" xfId="0" applyFont="1" applyFill="1" applyBorder="1" applyAlignment="1" applyProtection="1">
      <alignment horizontal="center"/>
      <protection locked="0"/>
    </xf>
    <xf numFmtId="0" fontId="8" fillId="7" borderId="34" xfId="0" applyFont="1" applyFill="1" applyBorder="1" applyAlignment="1" applyProtection="1">
      <alignment horizontal="center"/>
      <protection locked="0"/>
    </xf>
    <xf numFmtId="0" fontId="8" fillId="7" borderId="9" xfId="0" applyFont="1" applyFill="1" applyBorder="1" applyAlignment="1" applyProtection="1">
      <alignment horizontal="center"/>
      <protection locked="0"/>
    </xf>
    <xf numFmtId="0" fontId="8" fillId="7" borderId="15" xfId="0" applyFont="1" applyFill="1" applyBorder="1" applyAlignment="1" applyProtection="1">
      <alignment horizontal="center"/>
      <protection locked="0"/>
    </xf>
    <xf numFmtId="0" fontId="8" fillId="7" borderId="19" xfId="0" applyFont="1" applyFill="1" applyBorder="1" applyAlignment="1" applyProtection="1">
      <alignment horizontal="center"/>
      <protection locked="0"/>
    </xf>
    <xf numFmtId="0" fontId="8" fillId="7" borderId="17" xfId="0" applyFont="1" applyFill="1" applyBorder="1" applyAlignment="1" applyProtection="1">
      <alignment horizontal="center"/>
      <protection locked="0"/>
    </xf>
    <xf numFmtId="0" fontId="8" fillId="9" borderId="21" xfId="0" applyFont="1" applyFill="1" applyBorder="1" applyAlignment="1" applyProtection="1">
      <alignment horizontal="center"/>
      <protection locked="0"/>
    </xf>
    <xf numFmtId="0" fontId="8" fillId="0" borderId="3" xfId="0" applyFont="1" applyBorder="1"/>
    <xf numFmtId="0" fontId="33" fillId="7" borderId="15" xfId="1" applyFont="1" applyFill="1" applyBorder="1" applyAlignment="1" applyProtection="1">
      <alignment horizontal="center"/>
      <protection locked="0"/>
    </xf>
    <xf numFmtId="0" fontId="33" fillId="7" borderId="16" xfId="1" applyFont="1" applyFill="1" applyBorder="1" applyAlignment="1" applyProtection="1">
      <alignment horizontal="center"/>
      <protection locked="0"/>
    </xf>
    <xf numFmtId="14" fontId="8" fillId="7" borderId="15" xfId="0" applyNumberFormat="1" applyFont="1" applyFill="1" applyBorder="1" applyAlignment="1" applyProtection="1">
      <alignment horizontal="center"/>
      <protection locked="0"/>
    </xf>
    <xf numFmtId="164" fontId="8" fillId="7" borderId="16" xfId="0" applyNumberFormat="1" applyFont="1" applyFill="1" applyBorder="1" applyAlignment="1" applyProtection="1">
      <alignment horizontal="center"/>
      <protection locked="0"/>
    </xf>
    <xf numFmtId="0" fontId="8" fillId="9" borderId="15" xfId="0" applyFont="1" applyFill="1" applyBorder="1" applyAlignment="1" applyProtection="1">
      <alignment horizontal="center"/>
      <protection locked="0"/>
    </xf>
    <xf numFmtId="165" fontId="8" fillId="4" borderId="16" xfId="0" applyNumberFormat="1" applyFont="1" applyFill="1" applyBorder="1" applyAlignment="1" applyProtection="1">
      <alignment horizontal="center"/>
      <protection locked="0"/>
    </xf>
    <xf numFmtId="0" fontId="8" fillId="0" borderId="14" xfId="0" applyFont="1" applyBorder="1"/>
    <xf numFmtId="0" fontId="8" fillId="8" borderId="16" xfId="0" applyFont="1" applyFill="1" applyBorder="1" applyAlignment="1" applyProtection="1">
      <alignment horizontal="center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49" fontId="8" fillId="8" borderId="18" xfId="0" applyNumberFormat="1" applyFont="1" applyFill="1" applyBorder="1" applyAlignment="1" applyProtection="1">
      <alignment horizontal="center"/>
      <protection locked="0"/>
    </xf>
    <xf numFmtId="0" fontId="8" fillId="8" borderId="22" xfId="0" applyFont="1" applyFill="1" applyBorder="1" applyAlignment="1" applyProtection="1">
      <alignment horizontal="center"/>
      <protection locked="0"/>
    </xf>
    <xf numFmtId="0" fontId="8" fillId="8" borderId="34" xfId="0" applyFont="1" applyFill="1" applyBorder="1" applyAlignment="1" applyProtection="1">
      <alignment horizontal="center"/>
      <protection locked="0"/>
    </xf>
    <xf numFmtId="0" fontId="11" fillId="0" borderId="0" xfId="1" applyFill="1" applyBorder="1" applyAlignment="1" applyProtection="1">
      <alignment horizontal="center"/>
    </xf>
    <xf numFmtId="0" fontId="1" fillId="0" borderId="7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1" borderId="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38" fillId="0" borderId="20" xfId="0" applyFont="1" applyBorder="1" applyAlignment="1">
      <alignment horizontal="center"/>
    </xf>
    <xf numFmtId="0" fontId="8" fillId="12" borderId="16" xfId="0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4" fillId="0" borderId="39" xfId="0" applyFont="1" applyBorder="1" applyAlignment="1" applyProtection="1">
      <alignment horizontal="right"/>
    </xf>
    <xf numFmtId="0" fontId="1" fillId="0" borderId="5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 wrapText="1"/>
    </xf>
    <xf numFmtId="0" fontId="39" fillId="7" borderId="16" xfId="0" applyFont="1" applyFill="1" applyBorder="1" applyAlignment="1" applyProtection="1">
      <alignment horizontal="center"/>
      <protection locked="0"/>
    </xf>
    <xf numFmtId="0" fontId="8" fillId="0" borderId="5" xfId="0" applyFont="1" applyFill="1" applyBorder="1" applyAlignment="1">
      <alignment horizontal="center"/>
    </xf>
    <xf numFmtId="0" fontId="8" fillId="2" borderId="16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8" fillId="0" borderId="0" xfId="0" quotePrefix="1" applyFont="1" applyFill="1" applyBorder="1" applyProtection="1"/>
    <xf numFmtId="0" fontId="8" fillId="0" borderId="0" xfId="0" applyFont="1" applyFill="1" applyBorder="1" applyProtection="1"/>
    <xf numFmtId="0" fontId="8" fillId="2" borderId="16" xfId="0" applyFont="1" applyFill="1" applyBorder="1" applyAlignment="1" applyProtection="1">
      <alignment horizontal="left"/>
      <protection locked="0"/>
    </xf>
    <xf numFmtId="0" fontId="8" fillId="8" borderId="18" xfId="0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right"/>
    </xf>
    <xf numFmtId="0" fontId="8" fillId="0" borderId="0" xfId="0" applyFont="1" applyProtection="1"/>
    <xf numFmtId="0" fontId="4" fillId="0" borderId="19" xfId="0" applyFont="1" applyFill="1" applyBorder="1" applyAlignment="1" applyProtection="1">
      <alignment horizontal="right"/>
    </xf>
    <xf numFmtId="0" fontId="8" fillId="2" borderId="18" xfId="0" applyFont="1" applyFill="1" applyBorder="1" applyAlignment="1">
      <alignment horizontal="left"/>
    </xf>
    <xf numFmtId="0" fontId="4" fillId="0" borderId="13" xfId="0" applyFont="1" applyBorder="1" applyAlignment="1" applyProtection="1">
      <alignment horizontal="left"/>
    </xf>
    <xf numFmtId="0" fontId="4" fillId="0" borderId="50" xfId="0" applyFont="1" applyBorder="1" applyAlignment="1" applyProtection="1">
      <alignment horizontal="right"/>
    </xf>
    <xf numFmtId="0" fontId="8" fillId="2" borderId="16" xfId="0" applyFont="1" applyFill="1" applyBorder="1" applyAlignment="1" applyProtection="1">
      <alignment horizontal="center"/>
    </xf>
    <xf numFmtId="0" fontId="4" fillId="2" borderId="9" xfId="0" quotePrefix="1" applyFont="1" applyFill="1" applyBorder="1" applyAlignment="1" applyProtection="1">
      <alignment horizontal="center"/>
    </xf>
    <xf numFmtId="0" fontId="8" fillId="0" borderId="16" xfId="0" applyFont="1" applyBorder="1" applyAlignment="1" applyProtection="1">
      <alignment horizontal="center"/>
    </xf>
    <xf numFmtId="0" fontId="8" fillId="2" borderId="51" xfId="0" applyFont="1" applyFill="1" applyBorder="1" applyAlignment="1" applyProtection="1">
      <alignment horizontal="left"/>
    </xf>
    <xf numFmtId="0" fontId="8" fillId="2" borderId="52" xfId="0" applyFont="1" applyFill="1" applyBorder="1" applyAlignment="1" applyProtection="1">
      <alignment horizontal="left"/>
    </xf>
    <xf numFmtId="0" fontId="8" fillId="0" borderId="0" xfId="0" applyFont="1" applyBorder="1" applyAlignment="1" applyProtection="1">
      <alignment horizontal="right"/>
    </xf>
    <xf numFmtId="0" fontId="4" fillId="0" borderId="49" xfId="0" applyFont="1" applyBorder="1" applyAlignment="1" applyProtection="1">
      <alignment horizontal="right"/>
    </xf>
    <xf numFmtId="0" fontId="8" fillId="2" borderId="28" xfId="0" applyFont="1" applyFill="1" applyBorder="1" applyAlignment="1" applyProtection="1">
      <alignment horizontal="left"/>
    </xf>
    <xf numFmtId="0" fontId="8" fillId="2" borderId="22" xfId="0" applyFont="1" applyFill="1" applyBorder="1" applyAlignment="1" applyProtection="1">
      <alignment horizontal="left"/>
    </xf>
    <xf numFmtId="0" fontId="30" fillId="0" borderId="1" xfId="0" applyFont="1" applyBorder="1" applyProtection="1"/>
    <xf numFmtId="0" fontId="30" fillId="0" borderId="8" xfId="0" applyFont="1" applyBorder="1" applyProtection="1"/>
    <xf numFmtId="0" fontId="8" fillId="0" borderId="10" xfId="0" applyFont="1" applyBorder="1" applyProtection="1"/>
    <xf numFmtId="0" fontId="8" fillId="2" borderId="18" xfId="0" applyFont="1" applyFill="1" applyBorder="1" applyAlignment="1" applyProtection="1">
      <alignment horizontal="left"/>
    </xf>
    <xf numFmtId="0" fontId="4" fillId="0" borderId="4" xfId="0" applyFont="1" applyBorder="1" applyAlignment="1" applyProtection="1">
      <alignment horizontal="left"/>
    </xf>
    <xf numFmtId="0" fontId="4" fillId="0" borderId="8" xfId="0" applyFont="1" applyBorder="1" applyAlignment="1" applyProtection="1">
      <alignment horizontal="right"/>
    </xf>
    <xf numFmtId="0" fontId="8" fillId="2" borderId="22" xfId="0" applyFont="1" applyFill="1" applyBorder="1" applyAlignment="1" applyProtection="1">
      <alignment horizontal="center"/>
    </xf>
    <xf numFmtId="0" fontId="8" fillId="2" borderId="18" xfId="0" applyFont="1" applyFill="1" applyBorder="1" applyAlignment="1" applyProtection="1">
      <alignment horizontal="center"/>
    </xf>
    <xf numFmtId="0" fontId="8" fillId="0" borderId="54" xfId="0" applyFont="1" applyBorder="1" applyProtection="1"/>
    <xf numFmtId="0" fontId="8" fillId="2" borderId="55" xfId="0" applyFont="1" applyFill="1" applyBorder="1" applyAlignment="1" applyProtection="1">
      <alignment horizontal="left"/>
    </xf>
    <xf numFmtId="0" fontId="8" fillId="0" borderId="2" xfId="0" applyFont="1" applyBorder="1" applyProtection="1"/>
    <xf numFmtId="0" fontId="8" fillId="0" borderId="3" xfId="0" applyFont="1" applyBorder="1" applyProtection="1"/>
    <xf numFmtId="0" fontId="4" fillId="0" borderId="33" xfId="0" applyFont="1" applyFill="1" applyBorder="1" applyAlignment="1" applyProtection="1">
      <alignment horizontal="right"/>
    </xf>
    <xf numFmtId="0" fontId="8" fillId="2" borderId="34" xfId="0" applyFont="1" applyFill="1" applyBorder="1" applyAlignment="1" applyProtection="1">
      <alignment horizontal="center"/>
    </xf>
    <xf numFmtId="0" fontId="8" fillId="9" borderId="17" xfId="0" applyFont="1" applyFill="1" applyBorder="1" applyAlignment="1" applyProtection="1">
      <alignment horizontal="center"/>
      <protection locked="0"/>
    </xf>
    <xf numFmtId="0" fontId="8" fillId="0" borderId="14" xfId="0" applyFont="1" applyBorder="1" applyProtection="1"/>
    <xf numFmtId="0" fontId="4" fillId="0" borderId="17" xfId="0" applyFont="1" applyBorder="1" applyAlignment="1" applyProtection="1">
      <alignment horizontal="right"/>
    </xf>
    <xf numFmtId="49" fontId="8" fillId="9" borderId="16" xfId="0" quotePrefix="1" applyNumberFormat="1" applyFont="1" applyFill="1" applyBorder="1" applyAlignment="1" applyProtection="1">
      <alignment horizontal="center"/>
      <protection locked="0"/>
    </xf>
    <xf numFmtId="0" fontId="40" fillId="13" borderId="15" xfId="0" applyFont="1" applyFill="1" applyBorder="1" applyAlignment="1">
      <alignment horizontal="center"/>
    </xf>
    <xf numFmtId="0" fontId="40" fillId="13" borderId="15" xfId="0" applyFont="1" applyFill="1" applyBorder="1" applyAlignment="1" applyProtection="1">
      <alignment horizontal="center"/>
      <protection locked="0"/>
    </xf>
    <xf numFmtId="0" fontId="45" fillId="0" borderId="9" xfId="0" applyFont="1" applyBorder="1" applyAlignment="1">
      <alignment horizontal="right"/>
    </xf>
    <xf numFmtId="0" fontId="11" fillId="0" borderId="0" xfId="1" applyBorder="1" applyAlignment="1" applyProtection="1">
      <alignment horizontal="center"/>
    </xf>
    <xf numFmtId="0" fontId="1" fillId="0" borderId="0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11" fillId="0" borderId="8" xfId="1" applyFill="1" applyBorder="1" applyAlignment="1" applyProtection="1">
      <alignment horizontal="center"/>
    </xf>
    <xf numFmtId="0" fontId="0" fillId="0" borderId="8" xfId="0" applyBorder="1" applyAlignment="1">
      <alignment horizontal="center"/>
    </xf>
    <xf numFmtId="0" fontId="11" fillId="0" borderId="10" xfId="1" applyFill="1" applyBorder="1" applyAlignment="1" applyProtection="1">
      <alignment horizontal="center"/>
    </xf>
    <xf numFmtId="0" fontId="0" fillId="0" borderId="6" xfId="0" applyBorder="1"/>
    <xf numFmtId="0" fontId="8" fillId="9" borderId="16" xfId="0" applyFont="1" applyFill="1" applyBorder="1" applyAlignment="1" applyProtection="1">
      <alignment horizontal="left"/>
      <protection locked="0"/>
    </xf>
    <xf numFmtId="0" fontId="1" fillId="0" borderId="6" xfId="0" applyFont="1" applyBorder="1"/>
    <xf numFmtId="0" fontId="46" fillId="0" borderId="7" xfId="0" applyFont="1" applyFill="1" applyBorder="1" applyAlignment="1">
      <alignment horizontal="center"/>
    </xf>
    <xf numFmtId="0" fontId="8" fillId="7" borderId="22" xfId="0" applyFont="1" applyFill="1" applyBorder="1" applyAlignment="1" applyProtection="1">
      <alignment horizontal="left"/>
      <protection locked="0"/>
    </xf>
    <xf numFmtId="0" fontId="7" fillId="8" borderId="16" xfId="0" applyFont="1" applyFill="1" applyBorder="1" applyAlignment="1" applyProtection="1">
      <alignment horizontal="center"/>
      <protection locked="0"/>
    </xf>
    <xf numFmtId="0" fontId="17" fillId="7" borderId="16" xfId="0" applyFont="1" applyFill="1" applyBorder="1" applyAlignment="1" applyProtection="1">
      <alignment horizontal="center"/>
      <protection locked="0"/>
    </xf>
    <xf numFmtId="0" fontId="38" fillId="0" borderId="5" xfId="0" applyFont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left"/>
    </xf>
    <xf numFmtId="0" fontId="9" fillId="0" borderId="8" xfId="0" applyFont="1" applyFill="1" applyBorder="1" applyAlignment="1">
      <alignment horizontal="center"/>
    </xf>
    <xf numFmtId="0" fontId="8" fillId="7" borderId="32" xfId="0" applyFont="1" applyFill="1" applyBorder="1" applyAlignment="1" applyProtection="1">
      <alignment horizontal="center"/>
      <protection locked="0"/>
    </xf>
    <xf numFmtId="0" fontId="8" fillId="0" borderId="8" xfId="0" applyFont="1" applyBorder="1" applyProtection="1"/>
    <xf numFmtId="0" fontId="0" fillId="14" borderId="16" xfId="0" applyFill="1" applyBorder="1" applyProtection="1"/>
    <xf numFmtId="0" fontId="45" fillId="0" borderId="9" xfId="0" applyFont="1" applyBorder="1" applyAlignment="1" applyProtection="1">
      <alignment horizontal="right"/>
    </xf>
    <xf numFmtId="0" fontId="2" fillId="0" borderId="2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8" fillId="7" borderId="40" xfId="0" applyFont="1" applyFill="1" applyBorder="1" applyAlignment="1" applyProtection="1">
      <alignment horizontal="center"/>
      <protection locked="0"/>
    </xf>
    <xf numFmtId="0" fontId="8" fillId="7" borderId="26" xfId="0" applyFont="1" applyFill="1" applyBorder="1" applyAlignment="1" applyProtection="1">
      <alignment horizontal="center"/>
      <protection locked="0"/>
    </xf>
    <xf numFmtId="0" fontId="8" fillId="7" borderId="41" xfId="0" applyFont="1" applyFill="1" applyBorder="1" applyAlignment="1" applyProtection="1">
      <alignment horizontal="center"/>
      <protection locked="0"/>
    </xf>
    <xf numFmtId="0" fontId="8" fillId="7" borderId="42" xfId="0" applyFont="1" applyFill="1" applyBorder="1" applyAlignment="1" applyProtection="1">
      <alignment horizontal="center"/>
      <protection locked="0"/>
    </xf>
    <xf numFmtId="0" fontId="8" fillId="7" borderId="43" xfId="0" applyFont="1" applyFill="1" applyBorder="1" applyAlignment="1" applyProtection="1">
      <alignment horizontal="center"/>
      <protection locked="0"/>
    </xf>
    <xf numFmtId="0" fontId="8" fillId="7" borderId="44" xfId="0" applyFont="1" applyFill="1" applyBorder="1" applyAlignment="1" applyProtection="1">
      <alignment horizontal="center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0" fontId="8" fillId="12" borderId="8" xfId="0" applyFont="1" applyFill="1" applyBorder="1" applyAlignment="1" applyProtection="1">
      <alignment horizontal="left" vertical="top" wrapText="1"/>
      <protection locked="0"/>
    </xf>
    <xf numFmtId="0" fontId="8" fillId="12" borderId="5" xfId="0" applyFont="1" applyFill="1" applyBorder="1" applyAlignment="1" applyProtection="1">
      <alignment horizontal="left" vertical="top" wrapText="1"/>
      <protection locked="0"/>
    </xf>
    <xf numFmtId="0" fontId="8" fillId="12" borderId="10" xfId="0" applyFont="1" applyFill="1" applyBorder="1" applyAlignment="1" applyProtection="1">
      <alignment horizontal="left" vertical="top" wrapText="1"/>
      <protection locked="0"/>
    </xf>
    <xf numFmtId="0" fontId="4" fillId="0" borderId="46" xfId="0" applyFont="1" applyFill="1" applyBorder="1" applyAlignment="1">
      <alignment horizontal="center"/>
    </xf>
    <xf numFmtId="0" fontId="4" fillId="0" borderId="47" xfId="0" applyFont="1" applyFill="1" applyBorder="1" applyAlignment="1">
      <alignment horizontal="center"/>
    </xf>
    <xf numFmtId="0" fontId="4" fillId="0" borderId="48" xfId="0" applyFont="1" applyFill="1" applyBorder="1" applyAlignment="1">
      <alignment horizontal="center"/>
    </xf>
    <xf numFmtId="0" fontId="8" fillId="8" borderId="12" xfId="0" applyFont="1" applyFill="1" applyBorder="1" applyAlignment="1" applyProtection="1">
      <alignment horizontal="left" vertical="top" wrapText="1"/>
      <protection locked="0"/>
    </xf>
    <xf numFmtId="0" fontId="8" fillId="8" borderId="45" xfId="0" applyFont="1" applyFill="1" applyBorder="1" applyAlignment="1" applyProtection="1">
      <alignment horizontal="left" vertical="top" wrapText="1"/>
      <protection locked="0"/>
    </xf>
    <xf numFmtId="0" fontId="8" fillId="8" borderId="4" xfId="0" applyFont="1" applyFill="1" applyBorder="1" applyAlignment="1" applyProtection="1">
      <alignment horizontal="left" vertical="top" wrapText="1"/>
      <protection locked="0"/>
    </xf>
    <xf numFmtId="0" fontId="8" fillId="8" borderId="8" xfId="0" applyFont="1" applyFill="1" applyBorder="1" applyAlignment="1" applyProtection="1">
      <alignment horizontal="left" vertical="top" wrapText="1"/>
      <protection locked="0"/>
    </xf>
    <xf numFmtId="0" fontId="8" fillId="8" borderId="5" xfId="0" applyFont="1" applyFill="1" applyBorder="1" applyAlignment="1" applyProtection="1">
      <alignment horizontal="left" vertical="top" wrapText="1"/>
      <protection locked="0"/>
    </xf>
    <xf numFmtId="0" fontId="8" fillId="8" borderId="10" xfId="0" applyFont="1" applyFill="1" applyBorder="1" applyAlignment="1" applyProtection="1">
      <alignment horizontal="left" vertical="top" wrapText="1"/>
      <protection locked="0"/>
    </xf>
    <xf numFmtId="0" fontId="47" fillId="8" borderId="2" xfId="0" applyFont="1" applyFill="1" applyBorder="1" applyAlignment="1" applyProtection="1">
      <alignment horizontal="center" vertical="top" wrapText="1"/>
      <protection locked="0"/>
    </xf>
    <xf numFmtId="0" fontId="47" fillId="8" borderId="1" xfId="0" applyFont="1" applyFill="1" applyBorder="1" applyAlignment="1" applyProtection="1">
      <alignment horizontal="center" vertical="top" wrapText="1"/>
      <protection locked="0"/>
    </xf>
    <xf numFmtId="0" fontId="47" fillId="8" borderId="11" xfId="0" applyFont="1" applyFill="1" applyBorder="1" applyAlignment="1" applyProtection="1">
      <alignment horizontal="center" vertical="top" wrapText="1"/>
      <protection locked="0"/>
    </xf>
    <xf numFmtId="0" fontId="47" fillId="8" borderId="23" xfId="0" applyFont="1" applyFill="1" applyBorder="1" applyAlignment="1" applyProtection="1">
      <alignment horizontal="center" vertical="top" wrapText="1"/>
      <protection locked="0"/>
    </xf>
    <xf numFmtId="0" fontId="34" fillId="2" borderId="25" xfId="0" applyFont="1" applyFill="1" applyBorder="1" applyAlignment="1" applyProtection="1"/>
    <xf numFmtId="0" fontId="34" fillId="2" borderId="53" xfId="0" applyFont="1" applyFill="1" applyBorder="1" applyAlignment="1" applyProtection="1"/>
    <xf numFmtId="0" fontId="8" fillId="2" borderId="12" xfId="0" applyFont="1" applyFill="1" applyBorder="1" applyAlignment="1" applyProtection="1">
      <alignment horizontal="left" vertical="top" wrapText="1"/>
    </xf>
    <xf numFmtId="0" fontId="8" fillId="2" borderId="45" xfId="0" applyFont="1" applyFill="1" applyBorder="1" applyAlignment="1" applyProtection="1">
      <alignment horizontal="left" vertical="top" wrapText="1"/>
    </xf>
    <xf numFmtId="0" fontId="8" fillId="2" borderId="4" xfId="0" applyFont="1" applyFill="1" applyBorder="1" applyAlignment="1" applyProtection="1">
      <alignment horizontal="left" vertical="top" wrapText="1"/>
    </xf>
    <xf numFmtId="0" fontId="8" fillId="2" borderId="8" xfId="0" applyFont="1" applyFill="1" applyBorder="1" applyAlignment="1" applyProtection="1">
      <alignment horizontal="left" vertical="top" wrapText="1"/>
    </xf>
    <xf numFmtId="0" fontId="2" fillId="0" borderId="46" xfId="0" applyFont="1" applyBorder="1" applyAlignment="1" applyProtection="1">
      <alignment horizontal="center"/>
    </xf>
    <xf numFmtId="0" fontId="2" fillId="0" borderId="47" xfId="0" applyFont="1" applyBorder="1" applyAlignment="1" applyProtection="1">
      <alignment horizontal="center"/>
    </xf>
    <xf numFmtId="0" fontId="2" fillId="0" borderId="48" xfId="0" applyFont="1" applyBorder="1" applyAlignment="1" applyProtection="1">
      <alignment horizontal="center"/>
    </xf>
    <xf numFmtId="0" fontId="0" fillId="2" borderId="40" xfId="0" applyFill="1" applyBorder="1" applyAlignment="1" applyProtection="1">
      <alignment horizontal="center"/>
    </xf>
    <xf numFmtId="0" fontId="0" fillId="2" borderId="26" xfId="0" applyFill="1" applyBorder="1" applyAlignment="1" applyProtection="1">
      <alignment horizontal="center"/>
    </xf>
    <xf numFmtId="0" fontId="0" fillId="2" borderId="41" xfId="0" applyFill="1" applyBorder="1" applyAlignment="1" applyProtection="1">
      <alignment horizontal="center"/>
    </xf>
    <xf numFmtId="0" fontId="0" fillId="2" borderId="42" xfId="0" applyFill="1" applyBorder="1" applyAlignment="1" applyProtection="1">
      <alignment horizontal="center"/>
    </xf>
    <xf numFmtId="0" fontId="0" fillId="2" borderId="43" xfId="0" applyFill="1" applyBorder="1" applyAlignment="1" applyProtection="1">
      <alignment horizontal="center"/>
    </xf>
    <xf numFmtId="0" fontId="0" fillId="2" borderId="44" xfId="0" applyFill="1" applyBorder="1" applyAlignment="1" applyProtection="1">
      <alignment horizontal="center"/>
    </xf>
    <xf numFmtId="0" fontId="4" fillId="0" borderId="56" xfId="0" applyFont="1" applyBorder="1" applyAlignment="1" applyProtection="1">
      <alignment horizontal="center"/>
    </xf>
    <xf numFmtId="0" fontId="4" fillId="0" borderId="57" xfId="0" applyFont="1" applyBorder="1" applyAlignment="1" applyProtection="1">
      <alignment horizontal="center"/>
    </xf>
    <xf numFmtId="0" fontId="34" fillId="2" borderId="25" xfId="0" applyFont="1" applyFill="1" applyBorder="1" applyAlignment="1" applyProtection="1">
      <alignment horizontal="left"/>
    </xf>
    <xf numFmtId="0" fontId="34" fillId="2" borderId="53" xfId="0" applyFont="1" applyFill="1" applyBorder="1" applyAlignment="1" applyProtection="1">
      <alignment horizontal="left"/>
    </xf>
    <xf numFmtId="0" fontId="34" fillId="2" borderId="51" xfId="0" applyFont="1" applyFill="1" applyBorder="1" applyAlignment="1" applyProtection="1">
      <alignment horizontal="left"/>
    </xf>
    <xf numFmtId="0" fontId="34" fillId="2" borderId="52" xfId="0" applyFont="1" applyFill="1" applyBorder="1" applyAlignment="1" applyProtection="1">
      <alignment horizontal="left"/>
    </xf>
    <xf numFmtId="0" fontId="47" fillId="14" borderId="2" xfId="0" applyFont="1" applyFill="1" applyBorder="1" applyAlignment="1" applyProtection="1">
      <alignment horizontal="center" vertical="top" wrapText="1"/>
      <protection locked="0"/>
    </xf>
    <xf numFmtId="0" fontId="47" fillId="14" borderId="1" xfId="0" applyFont="1" applyFill="1" applyBorder="1" applyAlignment="1" applyProtection="1">
      <alignment horizontal="center" vertical="top" wrapText="1"/>
      <protection locked="0"/>
    </xf>
    <xf numFmtId="0" fontId="47" fillId="14" borderId="11" xfId="0" applyFont="1" applyFill="1" applyBorder="1" applyAlignment="1" applyProtection="1">
      <alignment horizontal="center" vertical="top" wrapText="1"/>
      <protection locked="0"/>
    </xf>
    <xf numFmtId="0" fontId="47" fillId="14" borderId="23" xfId="0" applyFont="1" applyFill="1" applyBorder="1" applyAlignment="1" applyProtection="1">
      <alignment horizontal="center" vertical="top" wrapText="1"/>
      <protection locked="0"/>
    </xf>
    <xf numFmtId="0" fontId="8" fillId="2" borderId="11" xfId="0" applyFont="1" applyFill="1" applyBorder="1" applyAlignment="1" applyProtection="1">
      <alignment horizontal="left" vertical="top" wrapText="1"/>
    </xf>
    <xf numFmtId="0" fontId="8" fillId="2" borderId="23" xfId="0" applyFont="1" applyFill="1" applyBorder="1" applyAlignment="1" applyProtection="1">
      <alignment horizontal="left" vertical="top" wrapText="1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" fillId="9" borderId="0" xfId="0" applyFont="1" applyFill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0</xdr:col>
      <xdr:colOff>942975</xdr:colOff>
      <xdr:row>1</xdr:row>
      <xdr:rowOff>200025</xdr:rowOff>
    </xdr:to>
    <xdr:pic>
      <xdr:nvPicPr>
        <xdr:cNvPr id="512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66675" y="57150"/>
          <a:ext cx="876300" cy="40005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trlProp" Target="../ctrlProps/ctrlProp3.xml"/><Relationship Id="rId3" Type="http://schemas.openxmlformats.org/officeDocument/2006/relationships/hyperlink" Target="mailto:Melissa.Webber@atmel.com" TargetMode="External"/><Relationship Id="rId7" Type="http://schemas.openxmlformats.org/officeDocument/2006/relationships/hyperlink" Target="file:///\\pensv001\common\Planning\Public\Engineering%20Built\CSO_%20Distribution_%20Instructions.doc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" Type="http://schemas.openxmlformats.org/officeDocument/2006/relationships/hyperlink" Target="file:///\\pensv001\common\Planning\Public\Engineering%20Built\ABI_SUB\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file:///\\pensv001\common\Planning\Public\Engineering%20Built\Archive\" TargetMode="External"/><Relationship Id="rId6" Type="http://schemas.openxmlformats.org/officeDocument/2006/relationships/hyperlink" Target="file:///\\pensv001\common\Planning\Public\Engineering%20Built\EBR_ABI_HELP.xls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file:///\\pensv001\common\Planning\Public\Engineering%20Built\DVS-ENG%20Work%20Request%20Authorization%20Form.xls" TargetMode="External"/><Relationship Id="rId15" Type="http://schemas.openxmlformats.org/officeDocument/2006/relationships/ctrlProp" Target="../ctrlProps/ctrlProp5.xml"/><Relationship Id="rId10" Type="http://schemas.openxmlformats.org/officeDocument/2006/relationships/comments" Target="../comments4.xml"/><Relationship Id="rId4" Type="http://schemas.openxmlformats.org/officeDocument/2006/relationships/hyperlink" Target="file:///\\pensv001\common\Planning\Public\Engineering%20Built\Assembly%20release%20form_Rev06.doc" TargetMode="External"/><Relationship Id="rId9" Type="http://schemas.openxmlformats.org/officeDocument/2006/relationships/vmlDrawing" Target="../drawings/vmlDrawing4.vml"/><Relationship Id="rId1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cps@atmel.com" TargetMode="External"/><Relationship Id="rId18" Type="http://schemas.openxmlformats.org/officeDocument/2006/relationships/hyperlink" Target="mailto:fujitsu@atmel.com" TargetMode="External"/><Relationship Id="rId26" Type="http://schemas.openxmlformats.org/officeDocument/2006/relationships/hyperlink" Target="mailto:stephane.vandepeutte@atmel.com" TargetMode="External"/><Relationship Id="rId39" Type="http://schemas.openxmlformats.org/officeDocument/2006/relationships/hyperlink" Target="mailto:Anthony.Moss@atmel.com" TargetMode="External"/><Relationship Id="rId21" Type="http://schemas.openxmlformats.org/officeDocument/2006/relationships/hyperlink" Target="http://www.atmel-nantes.fr/topmarks" TargetMode="External"/><Relationship Id="rId34" Type="http://schemas.openxmlformats.org/officeDocument/2006/relationships/hyperlink" Target="mailto:Emmanuel.Daumain@atmel.com" TargetMode="External"/><Relationship Id="rId42" Type="http://schemas.openxmlformats.org/officeDocument/2006/relationships/hyperlink" Target="mailto:Barry.Raoofi@atmel.com" TargetMode="External"/><Relationship Id="rId47" Type="http://schemas.openxmlformats.org/officeDocument/2006/relationships/hyperlink" Target="mailto:Dan.Harfert@atmel.com" TargetMode="External"/><Relationship Id="rId50" Type="http://schemas.openxmlformats.org/officeDocument/2006/relationships/hyperlink" Target="mailto:Janis.Burns@atmel.com" TargetMode="External"/><Relationship Id="rId55" Type="http://schemas.openxmlformats.org/officeDocument/2006/relationships/hyperlink" Target="mailto:Linda.Lorimor@atmel.com" TargetMode="External"/><Relationship Id="rId63" Type="http://schemas.openxmlformats.org/officeDocument/2006/relationships/hyperlink" Target="mailto:Art.Mears@atmel.com" TargetMode="External"/><Relationship Id="rId7" Type="http://schemas.openxmlformats.org/officeDocument/2006/relationships/hyperlink" Target="mailto:atp32@atmel.com" TargetMode="External"/><Relationship Id="rId2" Type="http://schemas.openxmlformats.org/officeDocument/2006/relationships/hyperlink" Target="mailto:atk4@atmel.com" TargetMode="External"/><Relationship Id="rId16" Type="http://schemas.openxmlformats.org/officeDocument/2006/relationships/hyperlink" Target="mailto:cpm@atmel.com" TargetMode="External"/><Relationship Id="rId29" Type="http://schemas.openxmlformats.org/officeDocument/2006/relationships/hyperlink" Target="mailto:mickael.martineau@atmel.com" TargetMode="External"/><Relationship Id="rId1" Type="http://schemas.openxmlformats.org/officeDocument/2006/relationships/hyperlink" Target="mailto:atk1@atmel.com" TargetMode="External"/><Relationship Id="rId6" Type="http://schemas.openxmlformats.org/officeDocument/2006/relationships/hyperlink" Target="mailto:atc3@atmel.com" TargetMode="External"/><Relationship Id="rId11" Type="http://schemas.openxmlformats.org/officeDocument/2006/relationships/hyperlink" Target="mailto:asat@atmel.com" TargetMode="External"/><Relationship Id="rId24" Type="http://schemas.openxmlformats.org/officeDocument/2006/relationships/hyperlink" Target="mailto:Claudie.Vaillant@atmel.com" TargetMode="External"/><Relationship Id="rId32" Type="http://schemas.openxmlformats.org/officeDocument/2006/relationships/hyperlink" Target="mailto:Daniel.Guardiola@atmel.com" TargetMode="External"/><Relationship Id="rId37" Type="http://schemas.openxmlformats.org/officeDocument/2006/relationships/hyperlink" Target="mailto:pascal.bachelier@atmel.com" TargetMode="External"/><Relationship Id="rId40" Type="http://schemas.openxmlformats.org/officeDocument/2006/relationships/hyperlink" Target="mailto:Annabelle.Gentil@atmel.com" TargetMode="External"/><Relationship Id="rId45" Type="http://schemas.openxmlformats.org/officeDocument/2006/relationships/hyperlink" Target="mailto:Carmencita.Ibarra@atmel.com" TargetMode="External"/><Relationship Id="rId53" Type="http://schemas.openxmlformats.org/officeDocument/2006/relationships/hyperlink" Target="mailto:karey.klaus@atmel.com" TargetMode="External"/><Relationship Id="rId58" Type="http://schemas.openxmlformats.org/officeDocument/2006/relationships/hyperlink" Target="mailto:Michael.S.Smith@atmel.com" TargetMode="External"/><Relationship Id="rId66" Type="http://schemas.openxmlformats.org/officeDocument/2006/relationships/hyperlink" Target="mailto:DL-EBR-ABI@atmel.com" TargetMode="External"/><Relationship Id="rId5" Type="http://schemas.openxmlformats.org/officeDocument/2006/relationships/hyperlink" Target="mailto:aseshanghai@atmel.com" TargetMode="External"/><Relationship Id="rId15" Type="http://schemas.openxmlformats.org/officeDocument/2006/relationships/hyperlink" Target="mailto:aic@atmel.com" TargetMode="External"/><Relationship Id="rId23" Type="http://schemas.openxmlformats.org/officeDocument/2006/relationships/hyperlink" Target="mailto:Veronique.Juille@atmel.com" TargetMode="External"/><Relationship Id="rId28" Type="http://schemas.openxmlformats.org/officeDocument/2006/relationships/hyperlink" Target="mailto:laetitia.potard@atmel.com" TargetMode="External"/><Relationship Id="rId36" Type="http://schemas.openxmlformats.org/officeDocument/2006/relationships/hyperlink" Target="mailto:Didier.Bernardon@atmel.com" TargetMode="External"/><Relationship Id="rId49" Type="http://schemas.openxmlformats.org/officeDocument/2006/relationships/hyperlink" Target="mailto:Francoise.Hubert@atmel.com" TargetMode="External"/><Relationship Id="rId57" Type="http://schemas.openxmlformats.org/officeDocument/2006/relationships/hyperlink" Target="mailto:Mike.Flanagan@atmel.com" TargetMode="External"/><Relationship Id="rId61" Type="http://schemas.openxmlformats.org/officeDocument/2006/relationships/hyperlink" Target="mailto:Sharon.Hall@atmel.com" TargetMode="External"/><Relationship Id="rId10" Type="http://schemas.openxmlformats.org/officeDocument/2006/relationships/hyperlink" Target="mailto:atp1@atmel.com" TargetMode="External"/><Relationship Id="rId19" Type="http://schemas.openxmlformats.org/officeDocument/2006/relationships/hyperlink" Target="mailto:asechungli@atmel.com" TargetMode="External"/><Relationship Id="rId31" Type="http://schemas.openxmlformats.org/officeDocument/2006/relationships/hyperlink" Target="mailto:robert.gaumont@atmel.com" TargetMode="External"/><Relationship Id="rId44" Type="http://schemas.openxmlformats.org/officeDocument/2006/relationships/hyperlink" Target="mailto:Connie.Hughes@atmel.com" TargetMode="External"/><Relationship Id="rId52" Type="http://schemas.openxmlformats.org/officeDocument/2006/relationships/hyperlink" Target="mailto:Jane.Lambert@atmel.com" TargetMode="External"/><Relationship Id="rId60" Type="http://schemas.openxmlformats.org/officeDocument/2006/relationships/hyperlink" Target="mailto:Sam.Ashman@atmel.com" TargetMode="External"/><Relationship Id="rId65" Type="http://schemas.openxmlformats.org/officeDocument/2006/relationships/hyperlink" Target="mailto:Jennifer.Benger@atmel.com" TargetMode="External"/><Relationship Id="rId4" Type="http://schemas.openxmlformats.org/officeDocument/2006/relationships/hyperlink" Target="mailto:utl@atmel.com" TargetMode="External"/><Relationship Id="rId9" Type="http://schemas.openxmlformats.org/officeDocument/2006/relationships/hyperlink" Target="mailto:greatek@atmel.com" TargetMode="External"/><Relationship Id="rId14" Type="http://schemas.openxmlformats.org/officeDocument/2006/relationships/hyperlink" Target="mailto:asekorea@atmel.com" TargetMode="External"/><Relationship Id="rId22" Type="http://schemas.openxmlformats.org/officeDocument/2006/relationships/hyperlink" Target="mailto:phil.johnson@atmel.com" TargetMode="External"/><Relationship Id="rId27" Type="http://schemas.openxmlformats.org/officeDocument/2006/relationships/hyperlink" Target="mailto:pierre.valleau@atmel.com" TargetMode="External"/><Relationship Id="rId30" Type="http://schemas.openxmlformats.org/officeDocument/2006/relationships/hyperlink" Target="mailto:Damien.Louis@atmel.com" TargetMode="External"/><Relationship Id="rId35" Type="http://schemas.openxmlformats.org/officeDocument/2006/relationships/hyperlink" Target="mailto:patrick.bizet@atmel.com" TargetMode="External"/><Relationship Id="rId43" Type="http://schemas.openxmlformats.org/officeDocument/2006/relationships/hyperlink" Target="mailto:Christophe.Coulee@atmel.com" TargetMode="External"/><Relationship Id="rId48" Type="http://schemas.openxmlformats.org/officeDocument/2006/relationships/hyperlink" Target="mailto:David.Nguyen@atmel.com" TargetMode="External"/><Relationship Id="rId56" Type="http://schemas.openxmlformats.org/officeDocument/2006/relationships/hyperlink" Target="mailto:Mark.Fisher@atmel.com" TargetMode="External"/><Relationship Id="rId64" Type="http://schemas.openxmlformats.org/officeDocument/2006/relationships/hyperlink" Target="mailto:Angela.Gonzales@atmel.com" TargetMode="External"/><Relationship Id="rId8" Type="http://schemas.openxmlformats.org/officeDocument/2006/relationships/hyperlink" Target="mailto:mitsui@atmel.com" TargetMode="External"/><Relationship Id="rId51" Type="http://schemas.openxmlformats.org/officeDocument/2006/relationships/hyperlink" Target="mailto:Jaymee.Harridge@atmel.com" TargetMode="External"/><Relationship Id="rId3" Type="http://schemas.openxmlformats.org/officeDocument/2006/relationships/hyperlink" Target="mailto:asekaohsiung@atmel.com" TargetMode="External"/><Relationship Id="rId12" Type="http://schemas.openxmlformats.org/officeDocument/2006/relationships/hyperlink" Target="mailto:cpk@atmel.com" TargetMode="External"/><Relationship Id="rId17" Type="http://schemas.openxmlformats.org/officeDocument/2006/relationships/hyperlink" Target="mailto:lingsen@atmel.com" TargetMode="External"/><Relationship Id="rId25" Type="http://schemas.openxmlformats.org/officeDocument/2006/relationships/hyperlink" Target="mailto:Thierry.saunier@atmel.com" TargetMode="External"/><Relationship Id="rId33" Type="http://schemas.openxmlformats.org/officeDocument/2006/relationships/hyperlink" Target="mailto:Eric.Fonteneau@atmel.com" TargetMode="External"/><Relationship Id="rId38" Type="http://schemas.openxmlformats.org/officeDocument/2006/relationships/hyperlink" Target="mailto:Andy.Kovats@atmel.com" TargetMode="External"/><Relationship Id="rId46" Type="http://schemas.openxmlformats.org/officeDocument/2006/relationships/hyperlink" Target="mailto:Chris.Palma@atmel.com" TargetMode="External"/><Relationship Id="rId59" Type="http://schemas.openxmlformats.org/officeDocument/2006/relationships/hyperlink" Target="mailto:Melissa.Webber@atmel.com" TargetMode="External"/><Relationship Id="rId67" Type="http://schemas.openxmlformats.org/officeDocument/2006/relationships/printerSettings" Target="../printerSettings/printerSettings5.bin"/><Relationship Id="rId20" Type="http://schemas.openxmlformats.org/officeDocument/2006/relationships/hyperlink" Target="mailto:sjodie_bank@atmel.com" TargetMode="External"/><Relationship Id="rId41" Type="http://schemas.openxmlformats.org/officeDocument/2006/relationships/hyperlink" Target="mailto:Anne.Bregeon@atmel.com" TargetMode="External"/><Relationship Id="rId54" Type="http://schemas.openxmlformats.org/officeDocument/2006/relationships/hyperlink" Target="mailto:Laura.Limb@atmel.com" TargetMode="External"/><Relationship Id="rId62" Type="http://schemas.openxmlformats.org/officeDocument/2006/relationships/hyperlink" Target="mailto:csodie_bank@atmel.com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ena.gu@aseglobal.com" TargetMode="External"/><Relationship Id="rId13" Type="http://schemas.openxmlformats.org/officeDocument/2006/relationships/hyperlink" Target="mailto:siripornto@th.utacgroup.com" TargetMode="External"/><Relationship Id="rId18" Type="http://schemas.openxmlformats.org/officeDocument/2006/relationships/hyperlink" Target="mailto:shanshan.jiang@aseus.com" TargetMode="External"/><Relationship Id="rId26" Type="http://schemas.openxmlformats.org/officeDocument/2006/relationships/hyperlink" Target="mailto:sujeeta.malar@atmel.com" TargetMode="External"/><Relationship Id="rId39" Type="http://schemas.openxmlformats.org/officeDocument/2006/relationships/hyperlink" Target="mailto:barnett.lee@atmel.com" TargetMode="External"/><Relationship Id="rId3" Type="http://schemas.openxmlformats.org/officeDocument/2006/relationships/hyperlink" Target="mailto:ronald.torres@amkor.com" TargetMode="External"/><Relationship Id="rId21" Type="http://schemas.openxmlformats.org/officeDocument/2006/relationships/hyperlink" Target="mailto:elise.nielsen@aeroflex.com" TargetMode="External"/><Relationship Id="rId34" Type="http://schemas.openxmlformats.org/officeDocument/2006/relationships/hyperlink" Target="mailto:carmencita.ibarra@atmel.com" TargetMode="External"/><Relationship Id="rId7" Type="http://schemas.openxmlformats.org/officeDocument/2006/relationships/hyperlink" Target="mailto:maria.andaya@aseus.com" TargetMode="External"/><Relationship Id="rId12" Type="http://schemas.openxmlformats.org/officeDocument/2006/relationships/hyperlink" Target="mailto:sichatchade@utacgroup.com" TargetMode="External"/><Relationship Id="rId17" Type="http://schemas.openxmlformats.org/officeDocument/2006/relationships/hyperlink" Target="mailto:gen-atmel-asek@aseus.com" TargetMode="External"/><Relationship Id="rId25" Type="http://schemas.openxmlformats.org/officeDocument/2006/relationships/hyperlink" Target="mailto:carmencita.ibarra@atmel.com" TargetMode="External"/><Relationship Id="rId33" Type="http://schemas.openxmlformats.org/officeDocument/2006/relationships/hyperlink" Target="mailto:logeswari.nadarajan@atmel.com" TargetMode="External"/><Relationship Id="rId38" Type="http://schemas.openxmlformats.org/officeDocument/2006/relationships/hyperlink" Target="mailto:atmel_jcap@jcap.com.cn" TargetMode="External"/><Relationship Id="rId2" Type="http://schemas.openxmlformats.org/officeDocument/2006/relationships/hyperlink" Target="mailto:yolanda.tirol@amkor.com" TargetMode="External"/><Relationship Id="rId16" Type="http://schemas.openxmlformats.org/officeDocument/2006/relationships/hyperlink" Target="mailto:aseh_atm_lsi@aseglobal.com" TargetMode="External"/><Relationship Id="rId20" Type="http://schemas.openxmlformats.org/officeDocument/2006/relationships/hyperlink" Target="mailto:waferiqa@aseglobal.com" TargetMode="External"/><Relationship Id="rId29" Type="http://schemas.openxmlformats.org/officeDocument/2006/relationships/hyperlink" Target="mailto:sujeeta.malar@atmel.com" TargetMode="External"/><Relationship Id="rId1" Type="http://schemas.openxmlformats.org/officeDocument/2006/relationships/hyperlink" Target="mailto:atpatmel@amkor.com" TargetMode="External"/><Relationship Id="rId6" Type="http://schemas.openxmlformats.org/officeDocument/2006/relationships/hyperlink" Target="mailto:shanshan.jiang@aseus.com" TargetMode="External"/><Relationship Id="rId11" Type="http://schemas.openxmlformats.org/officeDocument/2006/relationships/hyperlink" Target="mailto:nattawutma@utacgroup.com" TargetMode="External"/><Relationship Id="rId24" Type="http://schemas.openxmlformats.org/officeDocument/2006/relationships/hyperlink" Target="mailto:logeswari.nadarajan@atmel.com" TargetMode="External"/><Relationship Id="rId32" Type="http://schemas.openxmlformats.org/officeDocument/2006/relationships/hyperlink" Target="mailto:logeswari.nadarajan@atmel.com" TargetMode="External"/><Relationship Id="rId37" Type="http://schemas.openxmlformats.org/officeDocument/2006/relationships/hyperlink" Target="mailto:carmencita.ibarra@atmel.com" TargetMode="External"/><Relationship Id="rId40" Type="http://schemas.openxmlformats.org/officeDocument/2006/relationships/hyperlink" Target="mailto:barnett.lee@atmel.com" TargetMode="External"/><Relationship Id="rId5" Type="http://schemas.openxmlformats.org/officeDocument/2006/relationships/hyperlink" Target="mailto:asesh_at_wo_atml@aseglobal.com" TargetMode="External"/><Relationship Id="rId15" Type="http://schemas.openxmlformats.org/officeDocument/2006/relationships/hyperlink" Target="mailto:emmelie_chen@aseglobal.com" TargetMode="External"/><Relationship Id="rId23" Type="http://schemas.openxmlformats.org/officeDocument/2006/relationships/hyperlink" Target="mailto:sujeeta.malar@atmel.com" TargetMode="External"/><Relationship Id="rId28" Type="http://schemas.openxmlformats.org/officeDocument/2006/relationships/hyperlink" Target="mailto:sujeeta.malar@atmel.com" TargetMode="External"/><Relationship Id="rId36" Type="http://schemas.openxmlformats.org/officeDocument/2006/relationships/hyperlink" Target="mailto:carmencita.ibarra@atmel.com" TargetMode="External"/><Relationship Id="rId10" Type="http://schemas.openxmlformats.org/officeDocument/2006/relationships/hyperlink" Target="mailto:catherine_zhang@jcap.com.cn" TargetMode="External"/><Relationship Id="rId19" Type="http://schemas.openxmlformats.org/officeDocument/2006/relationships/hyperlink" Target="mailto:tinayz_chen@aseglobal.com" TargetMode="External"/><Relationship Id="rId31" Type="http://schemas.openxmlformats.org/officeDocument/2006/relationships/hyperlink" Target="mailto:logeswari.nadarajan@atmel.com" TargetMode="External"/><Relationship Id="rId4" Type="http://schemas.openxmlformats.org/officeDocument/2006/relationships/hyperlink" Target="mailto:atp1@atmel.com" TargetMode="External"/><Relationship Id="rId9" Type="http://schemas.openxmlformats.org/officeDocument/2006/relationships/hyperlink" Target="mailto:aseshanghai@atmel.com" TargetMode="External"/><Relationship Id="rId14" Type="http://schemas.openxmlformats.org/officeDocument/2006/relationships/hyperlink" Target="mailto:utl@atmel.com" TargetMode="External"/><Relationship Id="rId22" Type="http://schemas.openxmlformats.org/officeDocument/2006/relationships/hyperlink" Target="mailto:aseshanghai@atmel.com" TargetMode="External"/><Relationship Id="rId27" Type="http://schemas.openxmlformats.org/officeDocument/2006/relationships/hyperlink" Target="mailto:sujeeta.malar@atmel.com" TargetMode="External"/><Relationship Id="rId30" Type="http://schemas.openxmlformats.org/officeDocument/2006/relationships/hyperlink" Target="mailto:logeswari.nadarajan@atmel.com" TargetMode="External"/><Relationship Id="rId35" Type="http://schemas.openxmlformats.org/officeDocument/2006/relationships/hyperlink" Target="mailto:carmencita.ibarra@atme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O93"/>
  <sheetViews>
    <sheetView tabSelected="1" workbookViewId="0">
      <selection activeCell="G17" sqref="G17"/>
    </sheetView>
  </sheetViews>
  <sheetFormatPr defaultRowHeight="12.75"/>
  <cols>
    <col min="1" max="1" width="23.5703125" style="1" customWidth="1"/>
    <col min="2" max="2" width="25.7109375" customWidth="1"/>
    <col min="3" max="3" width="2.7109375" customWidth="1"/>
    <col min="4" max="4" width="3.42578125" customWidth="1"/>
    <col min="5" max="5" width="4.140625" customWidth="1"/>
    <col min="6" max="6" width="24.7109375" customWidth="1"/>
    <col min="7" max="7" width="31.5703125" customWidth="1"/>
    <col min="8" max="11" width="13.7109375" hidden="1" customWidth="1"/>
    <col min="12" max="12" width="0.28515625" hidden="1" customWidth="1"/>
  </cols>
  <sheetData>
    <row r="1" spans="1:15" ht="12.75" customHeight="1">
      <c r="A1" s="98"/>
      <c r="H1" s="36"/>
      <c r="I1" s="36"/>
      <c r="J1" s="36"/>
      <c r="K1" s="36"/>
      <c r="L1" s="36"/>
    </row>
    <row r="2" spans="1:15" ht="17.25" customHeight="1">
      <c r="D2" s="46" t="s">
        <v>357</v>
      </c>
      <c r="H2" s="36"/>
      <c r="I2" s="36"/>
      <c r="J2" s="36"/>
      <c r="K2" s="36"/>
      <c r="L2" s="36"/>
    </row>
    <row r="3" spans="1:15" ht="12.75" customHeight="1" thickBot="1">
      <c r="A3" s="6"/>
      <c r="N3" s="2"/>
      <c r="O3" s="2"/>
    </row>
    <row r="4" spans="1:15" ht="12.75" customHeight="1">
      <c r="A4" s="43" t="s">
        <v>607</v>
      </c>
      <c r="B4" s="162"/>
      <c r="C4" s="7"/>
      <c r="E4" s="41"/>
      <c r="F4" s="43" t="s">
        <v>96</v>
      </c>
      <c r="G4" s="162"/>
      <c r="N4" s="2"/>
      <c r="O4" s="2"/>
    </row>
    <row r="5" spans="1:15" ht="12.75" customHeight="1">
      <c r="A5" s="206" t="s">
        <v>574</v>
      </c>
      <c r="B5" s="234"/>
      <c r="C5" s="7"/>
      <c r="E5" s="41"/>
      <c r="F5" s="44" t="s">
        <v>488</v>
      </c>
      <c r="G5" s="220"/>
      <c r="N5" s="2"/>
      <c r="O5" s="2"/>
    </row>
    <row r="6" spans="1:15" ht="12.75" customHeight="1">
      <c r="A6" s="44" t="s">
        <v>90</v>
      </c>
      <c r="B6" s="220"/>
      <c r="C6" s="7"/>
      <c r="D6" s="7"/>
      <c r="E6" s="7"/>
      <c r="F6" s="44" t="s">
        <v>95</v>
      </c>
      <c r="G6" s="220"/>
      <c r="N6" s="7"/>
      <c r="O6" s="2"/>
    </row>
    <row r="7" spans="1:15" ht="12.75" customHeight="1">
      <c r="A7" s="206" t="s">
        <v>494</v>
      </c>
      <c r="B7" s="220"/>
      <c r="C7" s="7"/>
      <c r="D7" s="7"/>
      <c r="E7" s="7"/>
      <c r="F7" s="44" t="s">
        <v>120</v>
      </c>
      <c r="G7" s="220"/>
    </row>
    <row r="8" spans="1:15" ht="12.75" customHeight="1">
      <c r="A8" s="206" t="s">
        <v>495</v>
      </c>
      <c r="B8" s="220"/>
      <c r="C8" s="7"/>
      <c r="D8" s="7"/>
      <c r="E8" s="7"/>
      <c r="F8" s="44" t="s">
        <v>228</v>
      </c>
      <c r="G8" s="220"/>
    </row>
    <row r="9" spans="1:15" ht="12.75" customHeight="1">
      <c r="A9" s="206" t="s">
        <v>496</v>
      </c>
      <c r="B9" s="220"/>
      <c r="C9" s="7"/>
      <c r="D9" s="40"/>
      <c r="E9" s="2"/>
      <c r="F9" s="44" t="s">
        <v>492</v>
      </c>
      <c r="G9" s="220"/>
    </row>
    <row r="10" spans="1:15" ht="12.75" customHeight="1" thickBot="1">
      <c r="A10" s="206" t="s">
        <v>497</v>
      </c>
      <c r="B10" s="220"/>
      <c r="C10" s="7"/>
      <c r="D10" s="7"/>
      <c r="E10" s="7"/>
      <c r="F10" s="44" t="s">
        <v>518</v>
      </c>
      <c r="G10" s="220"/>
    </row>
    <row r="11" spans="1:15" ht="12.75" customHeight="1">
      <c r="A11" s="44" t="s">
        <v>491</v>
      </c>
      <c r="B11" s="234"/>
      <c r="C11" s="7"/>
      <c r="D11" s="7" t="s">
        <v>4</v>
      </c>
      <c r="E11" s="7" t="s">
        <v>4</v>
      </c>
      <c r="F11" s="184" t="s">
        <v>498</v>
      </c>
      <c r="G11" s="249"/>
      <c r="H11" s="8"/>
      <c r="I11" s="9"/>
    </row>
    <row r="12" spans="1:15" ht="12.75" customHeight="1">
      <c r="A12" s="206" t="s">
        <v>0</v>
      </c>
      <c r="B12" s="234"/>
      <c r="C12" s="7"/>
      <c r="D12" s="7"/>
      <c r="E12" s="7"/>
      <c r="F12" s="44" t="s">
        <v>98</v>
      </c>
      <c r="G12" s="220"/>
    </row>
    <row r="13" spans="1:15" ht="12.75" customHeight="1">
      <c r="A13" s="44" t="s">
        <v>11</v>
      </c>
      <c r="B13" s="220"/>
      <c r="C13" s="7"/>
      <c r="D13" s="23"/>
      <c r="E13" s="23"/>
      <c r="F13" s="44" t="s">
        <v>99</v>
      </c>
      <c r="G13" s="268"/>
    </row>
    <row r="14" spans="1:15" ht="12.75" customHeight="1">
      <c r="A14" s="44" t="s">
        <v>1</v>
      </c>
      <c r="B14" s="220"/>
      <c r="D14" s="7"/>
      <c r="E14" s="7"/>
      <c r="F14" s="44" t="s">
        <v>516</v>
      </c>
      <c r="G14" s="220"/>
    </row>
    <row r="15" spans="1:15" ht="12.75" customHeight="1">
      <c r="A15" s="44" t="s">
        <v>619</v>
      </c>
      <c r="B15" s="248"/>
      <c r="D15" s="7" t="s">
        <v>4</v>
      </c>
      <c r="E15" s="7" t="s">
        <v>4</v>
      </c>
      <c r="F15" s="44" t="s">
        <v>517</v>
      </c>
      <c r="G15" s="268"/>
    </row>
    <row r="16" spans="1:15" ht="12.75" customHeight="1">
      <c r="A16" s="44" t="s">
        <v>608</v>
      </c>
      <c r="B16" s="308" t="s">
        <v>561</v>
      </c>
      <c r="D16" s="7"/>
      <c r="E16" s="7"/>
      <c r="F16" s="184" t="s">
        <v>500</v>
      </c>
      <c r="G16" s="249"/>
    </row>
    <row r="17" spans="1:7" ht="12.75" customHeight="1" thickBot="1">
      <c r="A17" s="207" t="s">
        <v>483</v>
      </c>
      <c r="B17" s="222"/>
      <c r="F17" s="208" t="s">
        <v>2</v>
      </c>
      <c r="G17" s="248"/>
    </row>
    <row r="18" spans="1:7" ht="12.75" customHeight="1" thickBot="1">
      <c r="A18" s="39" t="s">
        <v>159</v>
      </c>
      <c r="B18" s="162"/>
      <c r="F18" s="205" t="s">
        <v>117</v>
      </c>
      <c r="G18" s="250"/>
    </row>
    <row r="19" spans="1:7" ht="12.75" customHeight="1" thickBot="1">
      <c r="A19" s="208" t="s">
        <v>609</v>
      </c>
      <c r="B19" s="262"/>
      <c r="F19" s="333" t="s">
        <v>585</v>
      </c>
      <c r="G19" s="334"/>
    </row>
    <row r="20" spans="1:7" ht="12.75" customHeight="1">
      <c r="A20" s="208" t="s">
        <v>433</v>
      </c>
      <c r="B20" s="220"/>
      <c r="F20" s="354" t="s">
        <v>701</v>
      </c>
      <c r="G20" s="355"/>
    </row>
    <row r="21" spans="1:7" ht="12.75" customHeight="1">
      <c r="A21" s="208" t="s">
        <v>691</v>
      </c>
      <c r="B21" s="220"/>
      <c r="D21" s="2"/>
      <c r="E21" s="2"/>
      <c r="F21" s="356" t="s">
        <v>702</v>
      </c>
      <c r="G21" s="357"/>
    </row>
    <row r="22" spans="1:7" ht="12.75" customHeight="1">
      <c r="A22" s="208" t="s">
        <v>111</v>
      </c>
      <c r="B22" s="220"/>
      <c r="E22" s="23"/>
      <c r="F22" s="348"/>
      <c r="G22" s="349"/>
    </row>
    <row r="23" spans="1:7" ht="12.75" customHeight="1">
      <c r="A23" s="208" t="s">
        <v>92</v>
      </c>
      <c r="B23" s="319"/>
      <c r="D23" s="2"/>
      <c r="E23" s="2"/>
      <c r="F23" s="350"/>
      <c r="G23" s="351"/>
    </row>
    <row r="24" spans="1:7" ht="12.75" customHeight="1">
      <c r="A24" s="208" t="s">
        <v>567</v>
      </c>
      <c r="B24" s="324"/>
      <c r="D24" s="2"/>
      <c r="E24" s="2"/>
      <c r="F24" s="350"/>
      <c r="G24" s="351"/>
    </row>
    <row r="25" spans="1:7" ht="12.75" customHeight="1">
      <c r="A25" s="208" t="s">
        <v>580</v>
      </c>
      <c r="B25" s="323"/>
      <c r="D25" s="2"/>
      <c r="E25" s="2"/>
      <c r="F25" s="350"/>
      <c r="G25" s="351"/>
    </row>
    <row r="26" spans="1:7" ht="12.75" customHeight="1" thickBot="1">
      <c r="A26" s="205" t="s">
        <v>493</v>
      </c>
      <c r="B26" s="222"/>
      <c r="D26" s="2"/>
      <c r="E26" s="2"/>
      <c r="F26" s="350"/>
      <c r="G26" s="351"/>
    </row>
    <row r="27" spans="1:7" ht="12.75" customHeight="1" thickBot="1">
      <c r="B27" s="225"/>
      <c r="D27" s="2"/>
      <c r="E27" s="2"/>
      <c r="F27" s="350"/>
      <c r="G27" s="351"/>
    </row>
    <row r="28" spans="1:7" ht="12.75" customHeight="1">
      <c r="A28" s="39" t="s">
        <v>94</v>
      </c>
      <c r="B28" s="251"/>
      <c r="D28" s="2"/>
      <c r="E28" s="2"/>
      <c r="F28" s="350"/>
      <c r="G28" s="351"/>
    </row>
    <row r="29" spans="1:7" ht="12.75" customHeight="1">
      <c r="A29" s="174" t="s">
        <v>603</v>
      </c>
      <c r="B29" s="252"/>
      <c r="D29" s="2"/>
      <c r="E29" s="2"/>
      <c r="F29" s="350"/>
      <c r="G29" s="351"/>
    </row>
    <row r="30" spans="1:7" ht="12.75" customHeight="1" thickBot="1">
      <c r="A30" s="185" t="s">
        <v>531</v>
      </c>
      <c r="B30" s="252"/>
      <c r="D30" s="2"/>
      <c r="E30" s="2"/>
      <c r="F30" s="352"/>
      <c r="G30" s="353"/>
    </row>
    <row r="31" spans="1:7" ht="12.75" customHeight="1" thickBot="1">
      <c r="A31" s="174" t="s">
        <v>573</v>
      </c>
      <c r="B31" s="219"/>
      <c r="D31" s="2"/>
      <c r="E31" s="2"/>
      <c r="F31" s="216" t="s">
        <v>450</v>
      </c>
      <c r="G31" s="163"/>
    </row>
    <row r="32" spans="1:7" ht="12.75" customHeight="1" thickBot="1">
      <c r="A32" s="311" t="s">
        <v>584</v>
      </c>
      <c r="B32" s="248"/>
      <c r="D32" s="2"/>
      <c r="E32" s="2"/>
    </row>
    <row r="33" spans="1:9" ht="12.75" customHeight="1">
      <c r="A33" s="208" t="s">
        <v>119</v>
      </c>
      <c r="B33" s="248"/>
      <c r="C33" s="217"/>
      <c r="D33" s="218"/>
      <c r="E33" s="218"/>
      <c r="F33" s="39" t="s">
        <v>55</v>
      </c>
      <c r="G33" s="322"/>
    </row>
    <row r="34" spans="1:9" ht="12.75" customHeight="1">
      <c r="A34" s="209" t="s">
        <v>167</v>
      </c>
      <c r="B34" s="248"/>
      <c r="C34" s="217"/>
      <c r="D34" s="218"/>
      <c r="E34" s="217"/>
      <c r="F34" s="44" t="s">
        <v>73</v>
      </c>
      <c r="G34" s="220"/>
      <c r="I34">
        <v>1</v>
      </c>
    </row>
    <row r="35" spans="1:9" ht="12.75" customHeight="1">
      <c r="A35" s="31" t="s">
        <v>30</v>
      </c>
      <c r="B35" s="219"/>
      <c r="C35" s="217"/>
      <c r="D35" s="217"/>
      <c r="E35" s="217"/>
      <c r="F35" s="44" t="s">
        <v>97</v>
      </c>
      <c r="G35" s="220"/>
    </row>
    <row r="36" spans="1:9" ht="12.75" customHeight="1">
      <c r="A36" s="31" t="s">
        <v>31</v>
      </c>
      <c r="B36" s="219"/>
      <c r="C36" s="217"/>
      <c r="D36" s="217"/>
      <c r="E36" s="217"/>
      <c r="F36" s="208" t="s">
        <v>54</v>
      </c>
      <c r="G36" s="220"/>
    </row>
    <row r="37" spans="1:9" ht="12.75" customHeight="1">
      <c r="A37" s="31" t="s">
        <v>32</v>
      </c>
      <c r="B37" s="219"/>
      <c r="C37" s="29"/>
      <c r="D37" s="218"/>
      <c r="E37" s="221"/>
      <c r="F37" s="208" t="s">
        <v>370</v>
      </c>
      <c r="G37" s="220"/>
    </row>
    <row r="38" spans="1:9" ht="12.75" customHeight="1" thickBot="1">
      <c r="A38" s="31" t="s">
        <v>33</v>
      </c>
      <c r="B38" s="219"/>
      <c r="C38" s="218"/>
      <c r="D38" s="217"/>
      <c r="E38" s="218"/>
      <c r="F38" s="205" t="s">
        <v>704</v>
      </c>
      <c r="G38" s="329"/>
    </row>
    <row r="39" spans="1:9" ht="12.75" customHeight="1">
      <c r="A39" s="31" t="s">
        <v>231</v>
      </c>
      <c r="B39" s="219"/>
      <c r="C39" s="218"/>
      <c r="D39" s="217"/>
      <c r="E39" s="218"/>
      <c r="F39" s="327" t="s">
        <v>363</v>
      </c>
      <c r="G39" s="328"/>
    </row>
    <row r="40" spans="1:9" ht="12.75" customHeight="1" thickBot="1">
      <c r="A40" s="111" t="s">
        <v>232</v>
      </c>
      <c r="B40" s="223"/>
      <c r="C40" s="218"/>
      <c r="D40" s="218"/>
      <c r="E40" s="218"/>
      <c r="F40" s="341"/>
      <c r="G40" s="342"/>
    </row>
    <row r="41" spans="1:9" ht="12.75" customHeight="1" thickBot="1">
      <c r="A41" s="224"/>
      <c r="B41" s="225"/>
      <c r="C41" s="218"/>
      <c r="D41" s="218"/>
      <c r="E41" s="218"/>
      <c r="F41" s="341"/>
      <c r="G41" s="342"/>
    </row>
    <row r="42" spans="1:9" ht="12.75" customHeight="1">
      <c r="A42" s="11" t="s">
        <v>58</v>
      </c>
      <c r="B42" s="162"/>
      <c r="C42" s="218"/>
      <c r="D42" s="227"/>
      <c r="E42" s="218"/>
      <c r="F42" s="341"/>
      <c r="G42" s="342"/>
    </row>
    <row r="43" spans="1:9" ht="12.75" customHeight="1">
      <c r="A43" s="226" t="s">
        <v>115</v>
      </c>
      <c r="B43" s="220"/>
      <c r="C43" s="218"/>
      <c r="D43" s="218"/>
      <c r="E43" s="218"/>
      <c r="F43" s="341"/>
      <c r="G43" s="342"/>
    </row>
    <row r="44" spans="1:9" ht="12.75" customHeight="1">
      <c r="A44" s="38" t="s">
        <v>571</v>
      </c>
      <c r="B44" s="220"/>
      <c r="C44" s="217"/>
      <c r="D44" s="218"/>
      <c r="E44" s="218"/>
      <c r="F44" s="341"/>
      <c r="G44" s="342"/>
    </row>
    <row r="45" spans="1:9" ht="12.75" customHeight="1">
      <c r="A45" s="226" t="s">
        <v>115</v>
      </c>
      <c r="B45" s="220"/>
      <c r="C45" s="218"/>
      <c r="D45" s="218"/>
      <c r="E45" s="218"/>
      <c r="F45" s="341"/>
      <c r="G45" s="342"/>
    </row>
    <row r="46" spans="1:9" ht="12.75" customHeight="1" thickBot="1">
      <c r="A46" s="12" t="s">
        <v>572</v>
      </c>
      <c r="B46" s="222"/>
      <c r="C46" s="218"/>
      <c r="D46" s="217"/>
      <c r="E46" s="218"/>
      <c r="F46" s="341"/>
      <c r="G46" s="342"/>
    </row>
    <row r="47" spans="1:9" ht="12.75" customHeight="1">
      <c r="A47" s="39" t="s">
        <v>93</v>
      </c>
      <c r="B47" s="228" t="s">
        <v>4</v>
      </c>
      <c r="C47" s="218"/>
      <c r="D47" s="229"/>
      <c r="E47" s="218"/>
      <c r="F47" s="341"/>
      <c r="G47" s="342"/>
    </row>
    <row r="48" spans="1:9" ht="12.75" customHeight="1" thickBot="1">
      <c r="A48" s="205" t="s">
        <v>534</v>
      </c>
      <c r="B48" s="230"/>
      <c r="C48" s="217"/>
      <c r="D48" s="217"/>
      <c r="E48" s="217"/>
      <c r="F48" s="343"/>
      <c r="G48" s="344"/>
    </row>
    <row r="49" spans="1:7" ht="12.75" customHeight="1" thickBot="1">
      <c r="A49" s="224"/>
      <c r="B49" s="225"/>
      <c r="C49" s="217"/>
      <c r="D49" s="217"/>
      <c r="E49" s="217"/>
      <c r="F49" s="231"/>
      <c r="G49" s="231"/>
    </row>
    <row r="50" spans="1:7" ht="12.75" customHeight="1">
      <c r="A50" s="210" t="s">
        <v>489</v>
      </c>
      <c r="B50" s="211" t="s">
        <v>490</v>
      </c>
      <c r="C50" s="345" t="s">
        <v>529</v>
      </c>
      <c r="D50" s="346"/>
      <c r="E50" s="347"/>
      <c r="F50" s="212" t="s">
        <v>113</v>
      </c>
      <c r="G50" s="213" t="s">
        <v>530</v>
      </c>
    </row>
    <row r="51" spans="1:7" ht="12.75" customHeight="1">
      <c r="A51" s="232"/>
      <c r="B51" s="233"/>
      <c r="C51" s="335"/>
      <c r="D51" s="336"/>
      <c r="E51" s="337"/>
      <c r="F51" s="233"/>
      <c r="G51" s="234"/>
    </row>
    <row r="52" spans="1:7" ht="12.75" customHeight="1">
      <c r="A52" s="235"/>
      <c r="B52" s="236"/>
      <c r="C52" s="335"/>
      <c r="D52" s="336"/>
      <c r="E52" s="337"/>
      <c r="F52" s="236"/>
      <c r="G52" s="220"/>
    </row>
    <row r="53" spans="1:7" ht="12.75" customHeight="1">
      <c r="A53" s="235"/>
      <c r="B53" s="236"/>
      <c r="C53" s="335"/>
      <c r="D53" s="336"/>
      <c r="E53" s="337"/>
      <c r="F53" s="236"/>
      <c r="G53" s="220"/>
    </row>
    <row r="54" spans="1:7" ht="12.75" customHeight="1">
      <c r="A54" s="235"/>
      <c r="B54" s="236"/>
      <c r="C54" s="335"/>
      <c r="D54" s="336"/>
      <c r="E54" s="337"/>
      <c r="F54" s="236"/>
      <c r="G54" s="220"/>
    </row>
    <row r="55" spans="1:7" ht="12.75" customHeight="1">
      <c r="A55" s="235"/>
      <c r="B55" s="236"/>
      <c r="C55" s="335"/>
      <c r="D55" s="336"/>
      <c r="E55" s="337"/>
      <c r="F55" s="236"/>
      <c r="G55" s="220"/>
    </row>
    <row r="56" spans="1:7" ht="12.75" customHeight="1" thickBot="1">
      <c r="A56" s="237"/>
      <c r="B56" s="238"/>
      <c r="C56" s="338"/>
      <c r="D56" s="339"/>
      <c r="E56" s="340"/>
      <c r="F56" s="238"/>
      <c r="G56" s="222"/>
    </row>
    <row r="57" spans="1:7" ht="12.75" customHeight="1" thickBot="1">
      <c r="A57" s="224"/>
      <c r="B57" s="225"/>
      <c r="C57" s="217"/>
      <c r="D57" s="217"/>
      <c r="E57" s="217"/>
      <c r="F57" s="217"/>
      <c r="G57" s="217"/>
    </row>
    <row r="58" spans="1:7" ht="12.75" customHeight="1">
      <c r="A58" s="39" t="s">
        <v>65</v>
      </c>
      <c r="B58" s="239"/>
      <c r="C58" s="240"/>
      <c r="D58" s="240"/>
      <c r="E58" s="240"/>
      <c r="F58" s="214" t="s">
        <v>79</v>
      </c>
      <c r="G58" s="162"/>
    </row>
    <row r="59" spans="1:7" ht="12.75" customHeight="1">
      <c r="A59" s="208" t="s">
        <v>22</v>
      </c>
      <c r="B59" s="241"/>
      <c r="C59" s="218"/>
      <c r="D59" s="218"/>
      <c r="E59" s="218"/>
      <c r="F59" s="215" t="s">
        <v>78</v>
      </c>
      <c r="G59" s="242"/>
    </row>
    <row r="60" spans="1:7" ht="12.75" customHeight="1">
      <c r="A60" s="208" t="s">
        <v>17</v>
      </c>
      <c r="B60" s="243"/>
      <c r="C60" s="218"/>
      <c r="D60" s="218"/>
      <c r="E60" s="218"/>
      <c r="F60" s="215" t="s">
        <v>153</v>
      </c>
      <c r="G60" s="244"/>
    </row>
    <row r="61" spans="1:7" ht="12.75" customHeight="1">
      <c r="A61" s="208" t="s">
        <v>77</v>
      </c>
      <c r="B61" s="245"/>
      <c r="C61" s="218"/>
      <c r="D61" s="218"/>
      <c r="E61" s="218"/>
      <c r="F61" s="215" t="s">
        <v>374</v>
      </c>
      <c r="G61" s="246"/>
    </row>
    <row r="62" spans="1:7" ht="12.75" customHeight="1" thickBot="1">
      <c r="A62" s="205" t="s">
        <v>152</v>
      </c>
      <c r="B62" s="238"/>
      <c r="C62" s="247"/>
      <c r="D62" s="247"/>
      <c r="E62" s="247"/>
      <c r="F62" s="130" t="s">
        <v>622</v>
      </c>
      <c r="G62" s="222"/>
    </row>
    <row r="64" spans="1:7">
      <c r="A64" s="164" t="s">
        <v>430</v>
      </c>
    </row>
    <row r="65" spans="1:7">
      <c r="A65" s="165" t="s">
        <v>431</v>
      </c>
    </row>
    <row r="66" spans="1:7">
      <c r="A66" s="166" t="s">
        <v>432</v>
      </c>
    </row>
    <row r="67" spans="1:7" ht="13.5" thickBot="1">
      <c r="A67" s="175" t="s">
        <v>448</v>
      </c>
    </row>
    <row r="68" spans="1:7" ht="15">
      <c r="A68" s="186"/>
      <c r="B68" s="187" t="s">
        <v>169</v>
      </c>
      <c r="C68" s="188"/>
      <c r="D68" s="188"/>
      <c r="E68" s="188"/>
      <c r="F68" s="188"/>
      <c r="G68" s="189"/>
    </row>
    <row r="69" spans="1:7" ht="13.5" thickBot="1">
      <c r="A69" s="190"/>
      <c r="B69" s="191"/>
      <c r="C69" s="191"/>
      <c r="D69" s="191"/>
      <c r="E69" s="191"/>
      <c r="F69" s="191"/>
      <c r="G69" s="192"/>
    </row>
    <row r="70" spans="1:7">
      <c r="A70" s="193" t="s">
        <v>170</v>
      </c>
      <c r="B70" s="194" t="str">
        <f>IF(G8&lt;&gt;0,IF(G8="Military","Y",""),"")</f>
        <v/>
      </c>
      <c r="C70" s="195"/>
      <c r="D70" s="195"/>
      <c r="E70" s="195"/>
      <c r="F70" s="193" t="s">
        <v>173</v>
      </c>
      <c r="G70" s="196"/>
    </row>
    <row r="71" spans="1:7">
      <c r="A71" s="197" t="s">
        <v>172</v>
      </c>
      <c r="B71" s="198" t="str">
        <f>IF(G6&lt;&gt;0,IF(G6="Fast Track","Y",""),"")</f>
        <v/>
      </c>
      <c r="C71" s="199"/>
      <c r="D71" s="199"/>
      <c r="E71" s="199"/>
      <c r="F71" s="197" t="s">
        <v>175</v>
      </c>
      <c r="G71" s="200"/>
    </row>
    <row r="72" spans="1:7">
      <c r="A72" s="197" t="s">
        <v>174</v>
      </c>
      <c r="B72" s="198" t="str">
        <f>IF(G6&lt;&gt;0,IF(G6="Expedite","Y",""),"")</f>
        <v/>
      </c>
      <c r="C72" s="199"/>
      <c r="D72" s="199"/>
      <c r="E72" s="199"/>
      <c r="F72" s="197" t="s">
        <v>177</v>
      </c>
      <c r="G72" s="201" t="e">
        <f>CONCATENATE(F20,F23,F24,F25,F26,F27,F28,F29,F30,#REF!,F31,F40,F41,F42,F43,F44,F45,F46,F48,#REF!)</f>
        <v>#REF!</v>
      </c>
    </row>
    <row r="73" spans="1:7">
      <c r="A73" s="197" t="s">
        <v>176</v>
      </c>
      <c r="B73" s="198" t="str">
        <f>IF(G35&lt;&gt;0,"Y","")</f>
        <v/>
      </c>
      <c r="C73" s="199"/>
      <c r="D73" s="199"/>
      <c r="E73" s="199"/>
      <c r="F73" s="197" t="s">
        <v>179</v>
      </c>
      <c r="G73" s="198" t="str">
        <f>IF(B22&lt;&gt;0,B22,"")</f>
        <v/>
      </c>
    </row>
    <row r="74" spans="1:7">
      <c r="A74" s="197" t="s">
        <v>178</v>
      </c>
      <c r="B74" s="198" t="str">
        <f>IF(G14="Perform Die Coat Op","Y","")</f>
        <v/>
      </c>
      <c r="C74" s="199"/>
      <c r="D74" s="199"/>
      <c r="E74" s="199"/>
      <c r="F74" s="197" t="s">
        <v>181</v>
      </c>
      <c r="G74" s="200"/>
    </row>
    <row r="75" spans="1:7">
      <c r="A75" s="197" t="s">
        <v>180</v>
      </c>
      <c r="B75" s="198" t="str">
        <f>IF(G13="UV Erase","Y","")</f>
        <v/>
      </c>
      <c r="C75" s="199"/>
      <c r="D75" s="199"/>
      <c r="E75" s="199"/>
      <c r="F75" s="197" t="s">
        <v>183</v>
      </c>
      <c r="G75" s="200"/>
    </row>
    <row r="76" spans="1:7">
      <c r="A76" s="197" t="s">
        <v>182</v>
      </c>
      <c r="B76" s="198" t="str">
        <f>IF(B12&lt;&gt;0,B12,"")</f>
        <v/>
      </c>
      <c r="C76" s="199"/>
      <c r="D76" s="199"/>
      <c r="E76" s="199"/>
      <c r="F76" s="197" t="s">
        <v>185</v>
      </c>
      <c r="G76" s="198" t="str">
        <f>IF(G34&lt;&gt;0,G34,"")</f>
        <v/>
      </c>
    </row>
    <row r="77" spans="1:7">
      <c r="A77" s="197" t="s">
        <v>184</v>
      </c>
      <c r="B77" s="198" t="str">
        <f>IF(B14&lt;&gt;0,B14,"")</f>
        <v/>
      </c>
      <c r="C77" s="199"/>
      <c r="D77" s="199"/>
      <c r="E77" s="199"/>
      <c r="F77" s="197" t="s">
        <v>187</v>
      </c>
      <c r="G77" s="198" t="str">
        <f>IF(B42&lt;&gt;0,B42,"")</f>
        <v/>
      </c>
    </row>
    <row r="78" spans="1:7">
      <c r="A78" s="197" t="s">
        <v>186</v>
      </c>
      <c r="B78" s="198" t="str">
        <f>IF(A51&lt;&gt;0,A51,"")</f>
        <v/>
      </c>
      <c r="C78" s="199"/>
      <c r="D78" s="199"/>
      <c r="E78" s="199"/>
      <c r="F78" s="197" t="s">
        <v>189</v>
      </c>
      <c r="G78" s="200"/>
    </row>
    <row r="79" spans="1:7">
      <c r="A79" s="197" t="s">
        <v>188</v>
      </c>
      <c r="B79" s="198" t="str">
        <f>IF(B4&lt;&gt;0,CONCATENATE(B4,B6),"")</f>
        <v/>
      </c>
      <c r="C79" s="199"/>
      <c r="D79" s="199"/>
      <c r="E79" s="199"/>
      <c r="F79" s="197" t="s">
        <v>191</v>
      </c>
      <c r="G79" s="198" t="str">
        <f>IF(G10&lt;&gt;0,G10,"")</f>
        <v/>
      </c>
    </row>
    <row r="80" spans="1:7">
      <c r="A80" s="197" t="s">
        <v>190</v>
      </c>
      <c r="B80" s="200"/>
      <c r="C80" s="199"/>
      <c r="D80" s="199"/>
      <c r="E80" s="199"/>
      <c r="F80" s="197" t="s">
        <v>193</v>
      </c>
      <c r="G80" s="200"/>
    </row>
    <row r="81" spans="1:7">
      <c r="A81" s="197" t="s">
        <v>192</v>
      </c>
      <c r="B81" s="198" t="str">
        <f>IF(B51&lt;&gt;0,B51,"")</f>
        <v/>
      </c>
      <c r="C81" s="199"/>
      <c r="D81" s="199"/>
      <c r="E81" s="199"/>
      <c r="F81" s="197" t="s">
        <v>195</v>
      </c>
      <c r="G81" s="198" t="str">
        <f>IF(B18&lt;&gt;0,B18,"")</f>
        <v/>
      </c>
    </row>
    <row r="82" spans="1:7">
      <c r="A82" s="197" t="s">
        <v>194</v>
      </c>
      <c r="B82" s="198" t="str">
        <f>IF(F51&lt;&gt;0,F51,"")</f>
        <v/>
      </c>
      <c r="C82" s="199"/>
      <c r="D82" s="199"/>
      <c r="E82" s="199"/>
      <c r="F82" s="197" t="s">
        <v>197</v>
      </c>
      <c r="G82" s="198" t="str">
        <f>IF(B17&lt;&gt;0,B17,"")</f>
        <v/>
      </c>
    </row>
    <row r="83" spans="1:7">
      <c r="A83" s="197" t="s">
        <v>196</v>
      </c>
      <c r="B83" s="200"/>
      <c r="C83" s="199"/>
      <c r="D83" s="199"/>
      <c r="E83" s="199"/>
      <c r="F83" s="197" t="s">
        <v>199</v>
      </c>
      <c r="G83" s="200"/>
    </row>
    <row r="84" spans="1:7">
      <c r="A84" s="197" t="s">
        <v>198</v>
      </c>
      <c r="B84" s="198" t="str">
        <f>IF(G17&lt;&gt;0,G17,"")</f>
        <v/>
      </c>
      <c r="C84" s="199"/>
      <c r="D84" s="199"/>
      <c r="E84" s="199"/>
      <c r="F84" s="197" t="s">
        <v>201</v>
      </c>
      <c r="G84" s="198" t="str">
        <f>IF(G35="Strip Test","Y","")</f>
        <v/>
      </c>
    </row>
    <row r="85" spans="1:7">
      <c r="A85" s="197" t="s">
        <v>200</v>
      </c>
      <c r="B85" s="198" t="str">
        <f>IF(B25&lt;&gt;0,B25,"")</f>
        <v/>
      </c>
      <c r="C85" s="199"/>
      <c r="D85" s="199"/>
      <c r="E85" s="199"/>
      <c r="F85" s="197" t="s">
        <v>203</v>
      </c>
      <c r="G85" s="200"/>
    </row>
    <row r="86" spans="1:7">
      <c r="A86" s="197" t="s">
        <v>202</v>
      </c>
      <c r="B86" s="198" t="str">
        <f>IF(B33&lt;&gt;0,B33,"")</f>
        <v/>
      </c>
      <c r="C86" s="199"/>
      <c r="D86" s="199"/>
      <c r="E86" s="199"/>
      <c r="F86" s="197" t="s">
        <v>385</v>
      </c>
      <c r="G86" s="198" t="str">
        <f>IF(G12&lt;&gt;0,G12,"")</f>
        <v/>
      </c>
    </row>
    <row r="87" spans="1:7">
      <c r="A87" s="197" t="s">
        <v>204</v>
      </c>
      <c r="B87" s="200"/>
      <c r="C87" s="199"/>
      <c r="D87" s="199"/>
      <c r="E87" s="199"/>
      <c r="F87" s="197" t="s">
        <v>29</v>
      </c>
      <c r="G87" s="198" t="str">
        <f>IF(G5&lt;&gt;0,G5,"")</f>
        <v/>
      </c>
    </row>
    <row r="88" spans="1:7">
      <c r="A88" s="197" t="s">
        <v>206</v>
      </c>
      <c r="B88" s="200"/>
      <c r="C88" s="199"/>
      <c r="D88" s="199"/>
      <c r="E88" s="199"/>
      <c r="F88" s="197" t="s">
        <v>205</v>
      </c>
      <c r="G88" s="200"/>
    </row>
    <row r="89" spans="1:7">
      <c r="A89" s="197" t="s">
        <v>208</v>
      </c>
      <c r="B89" s="200"/>
      <c r="C89" s="199"/>
      <c r="D89" s="199"/>
      <c r="E89" s="199"/>
      <c r="F89" s="197" t="s">
        <v>207</v>
      </c>
      <c r="G89" s="198" t="str">
        <f>IF(G37&lt;&gt;0,G37,"")</f>
        <v/>
      </c>
    </row>
    <row r="90" spans="1:7">
      <c r="A90" s="197" t="s">
        <v>210</v>
      </c>
      <c r="B90" s="198" t="str">
        <f>IF(G7&lt;&gt;0,G7,"")</f>
        <v/>
      </c>
      <c r="C90" s="199"/>
      <c r="D90" s="199"/>
      <c r="E90" s="199"/>
      <c r="F90" s="197" t="s">
        <v>209</v>
      </c>
      <c r="G90" s="200"/>
    </row>
    <row r="91" spans="1:7">
      <c r="A91" s="197" t="s">
        <v>212</v>
      </c>
      <c r="B91" s="200"/>
      <c r="C91" s="199"/>
      <c r="D91" s="199"/>
      <c r="E91" s="199"/>
      <c r="F91" s="197" t="s">
        <v>211</v>
      </c>
      <c r="G91" s="200"/>
    </row>
    <row r="92" spans="1:7">
      <c r="A92" s="197" t="s">
        <v>214</v>
      </c>
      <c r="B92" s="200"/>
      <c r="C92" s="199"/>
      <c r="D92" s="199"/>
      <c r="E92" s="199"/>
      <c r="F92" s="197" t="s">
        <v>213</v>
      </c>
      <c r="G92" s="200"/>
    </row>
    <row r="93" spans="1:7" ht="13.5" thickBot="1">
      <c r="A93" s="202" t="s">
        <v>171</v>
      </c>
      <c r="B93" s="203"/>
      <c r="C93" s="204"/>
      <c r="D93" s="204"/>
      <c r="E93" s="204"/>
      <c r="F93" s="202" t="s">
        <v>364</v>
      </c>
      <c r="G93" s="203"/>
    </row>
  </sheetData>
  <sheetProtection sheet="1" objects="1" scenarios="1" selectLockedCells="1" autoFilter="0"/>
  <dataConsolidate/>
  <mergeCells count="12">
    <mergeCell ref="F19:G19"/>
    <mergeCell ref="C53:E53"/>
    <mergeCell ref="C54:E54"/>
    <mergeCell ref="C55:E55"/>
    <mergeCell ref="C56:E56"/>
    <mergeCell ref="F40:G48"/>
    <mergeCell ref="C50:E50"/>
    <mergeCell ref="C51:E51"/>
    <mergeCell ref="C52:E52"/>
    <mergeCell ref="F22:G30"/>
    <mergeCell ref="F20:G20"/>
    <mergeCell ref="F21:G21"/>
  </mergeCells>
  <phoneticPr fontId="10" type="noConversion"/>
  <dataValidations count="25">
    <dataValidation type="list" allowBlank="1" showInputMessage="1" showErrorMessage="1" sqref="B12">
      <formula1>PKG_Style</formula1>
    </dataValidation>
    <dataValidation type="list" allowBlank="1" showInputMessage="1" showErrorMessage="1" sqref="B23">
      <formula1>Vendor</formula1>
    </dataValidation>
    <dataValidation type="list" allowBlank="1" showInputMessage="1" showErrorMessage="1" sqref="B22">
      <formula1>Die_Bank</formula1>
    </dataValidation>
    <dataValidation type="list" allowBlank="1" showInputMessage="1" showErrorMessage="1" sqref="B24 G33 B42 B44 B46">
      <formula1>TEST_LOC</formula1>
    </dataValidation>
    <dataValidation type="list" allowBlank="1" showInputMessage="1" showErrorMessage="1" sqref="G35">
      <formula1>Test</formula1>
    </dataValidation>
    <dataValidation type="list" allowBlank="1" showInputMessage="1" showErrorMessage="1" sqref="G34">
      <formula1>Probe</formula1>
    </dataValidation>
    <dataValidation type="list" allowBlank="1" showInputMessage="1" showErrorMessage="1" sqref="G14">
      <formula1>Wire_Mat</formula1>
    </dataValidation>
    <dataValidation type="list" allowBlank="1" showInputMessage="1" showErrorMessage="1" sqref="G59 B59">
      <formula1>Email_Addesses</formula1>
    </dataValidation>
    <dataValidation type="list" allowBlank="1" showInputMessage="1" showErrorMessage="1" sqref="G62 G16 G37 B31:B32">
      <formula1>YES_NO</formula1>
    </dataValidation>
    <dataValidation type="list" allowBlank="1" showInputMessage="1" showErrorMessage="1" sqref="G7">
      <formula1>Process</formula1>
    </dataValidation>
    <dataValidation type="list" allowBlank="1" showInputMessage="1" showErrorMessage="1" sqref="G6">
      <formula1>Priority</formula1>
    </dataValidation>
    <dataValidation type="list" allowBlank="1" showInputMessage="1" showErrorMessage="1" sqref="G5">
      <formula1>Owner</formula1>
    </dataValidation>
    <dataValidation type="list" allowBlank="1" showInputMessage="1" showErrorMessage="1" sqref="G8">
      <formula1>Qual_Level</formula1>
    </dataValidation>
    <dataValidation type="list" allowBlank="1" showInputMessage="1" showErrorMessage="1" sqref="B26">
      <formula1>Container</formula1>
    </dataValidation>
    <dataValidation type="list" allowBlank="1" showInputMessage="1" showErrorMessage="1" sqref="B28">
      <formula1>Marking</formula1>
    </dataValidation>
    <dataValidation type="list" allowBlank="1" showInputMessage="1" showErrorMessage="1" sqref="B17">
      <formula1>Wfr_Size</formula1>
    </dataValidation>
    <dataValidation type="list" allowBlank="1" showInputMessage="1" showErrorMessage="1" sqref="B20">
      <formula1>Fab_Code</formula1>
    </dataValidation>
    <dataValidation type="list" allowBlank="1" showInputMessage="1" showErrorMessage="1" sqref="G4">
      <formula1>Build_Reason</formula1>
    </dataValidation>
    <dataValidation type="list" allowBlank="1" showInputMessage="1" showErrorMessage="1" sqref="G9">
      <formula1>Rev_Loc</formula1>
    </dataValidation>
    <dataValidation type="list" allowBlank="1" showInputMessage="1" showErrorMessage="1" sqref="G11">
      <formula1>Scrap</formula1>
    </dataValidation>
    <dataValidation type="list" allowBlank="1" showInputMessage="1" showErrorMessage="1" sqref="G15">
      <formula1>Process__LTS</formula1>
    </dataValidation>
    <dataValidation type="list" allowBlank="1" showInputMessage="1" showErrorMessage="1" sqref="B47">
      <formula1>Vendor_Email</formula1>
    </dataValidation>
    <dataValidation type="list" allowBlank="1" showInputMessage="1" showErrorMessage="1" sqref="B48">
      <formula1>Vendor_Code</formula1>
    </dataValidation>
    <dataValidation type="list" allowBlank="1" showInputMessage="1" showErrorMessage="1" sqref="B33">
      <formula1>Marking_SL</formula1>
    </dataValidation>
    <dataValidation type="list" allowBlank="1" showInputMessage="1" showErrorMessage="1" sqref="B61">
      <formula1>Requestor_LOC</formula1>
    </dataValidation>
  </dataValidations>
  <printOptions horizontalCentered="1" verticalCentered="1"/>
  <pageMargins left="0" right="0" top="0" bottom="0" header="0" footer="0"/>
  <pageSetup scale="89" orientation="portrait" r:id="rId1"/>
  <headerFooter alignWithMargins="0">
    <oddFooter>&amp;F</oddFooter>
  </headerFooter>
  <legacyDrawing r:id="rId2"/>
  <controls>
    <control shapeId="4188" r:id="rId3" name="CheckBox1"/>
    <control shapeId="4196" r:id="rId4" name="CheckBox2"/>
    <control shapeId="4197" r:id="rId5" name="CheckBox3"/>
    <control shapeId="4198" r:id="rId6" name="CheckBox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G65"/>
  <sheetViews>
    <sheetView showGridLines="0" topLeftCell="A21" workbookViewId="0">
      <selection activeCell="B54" sqref="B54"/>
    </sheetView>
  </sheetViews>
  <sheetFormatPr defaultRowHeight="12.75"/>
  <cols>
    <col min="1" max="1" width="24.7109375" style="55" customWidth="1"/>
    <col min="2" max="2" width="28.7109375" style="55" customWidth="1"/>
    <col min="3" max="5" width="2.7109375" style="55" customWidth="1"/>
    <col min="6" max="6" width="25.28515625" style="57" customWidth="1"/>
    <col min="7" max="7" width="28.7109375" style="55" customWidth="1"/>
    <col min="8" max="16384" width="9.140625" style="55"/>
  </cols>
  <sheetData>
    <row r="1" spans="1:7" ht="20.25">
      <c r="D1" s="56" t="s">
        <v>110</v>
      </c>
    </row>
    <row r="2" spans="1:7" ht="21" thickBot="1">
      <c r="D2" s="56"/>
    </row>
    <row r="3" spans="1:7">
      <c r="A3" s="58"/>
      <c r="B3" s="59"/>
      <c r="C3" s="59"/>
      <c r="D3" s="59"/>
      <c r="E3" s="59"/>
      <c r="F3" s="60"/>
      <c r="G3" s="61"/>
    </row>
    <row r="4" spans="1:7" ht="12.75" customHeight="1">
      <c r="A4" s="62" t="s">
        <v>66</v>
      </c>
      <c r="B4" s="63" t="str">
        <f>IF('Launch Build'!B24&lt;&gt;0,'Launch Build'!B24,"")</f>
        <v/>
      </c>
      <c r="C4" s="64" t="s">
        <v>19</v>
      </c>
      <c r="D4" s="65"/>
      <c r="E4" s="65"/>
      <c r="F4" s="66" t="s">
        <v>16</v>
      </c>
      <c r="G4" s="77" t="str">
        <f>IF('Launch Build'!B13&lt;&gt;0,'Launch Build'!B13,"")</f>
        <v/>
      </c>
    </row>
    <row r="5" spans="1:7" ht="12.75" customHeight="1">
      <c r="A5" s="62" t="s">
        <v>80</v>
      </c>
      <c r="B5" s="63" t="str">
        <f>IF('Launch Build'!B25&lt;&gt;0,'Launch Build'!B25,"")</f>
        <v/>
      </c>
      <c r="C5" s="65"/>
      <c r="D5" s="65"/>
      <c r="E5" s="65"/>
      <c r="F5" s="66" t="s">
        <v>17</v>
      </c>
      <c r="G5" s="77" t="str">
        <f>IF('Launch Build'!B14&lt;&gt;0,'Launch Build'!B14,"")</f>
        <v/>
      </c>
    </row>
    <row r="6" spans="1:7" ht="12.75" customHeight="1">
      <c r="A6" s="62" t="s">
        <v>105</v>
      </c>
      <c r="B6" s="106" t="str">
        <f>IF('Launch Build'!B26&lt;&gt;0,'Launch Build'!B26,"")</f>
        <v/>
      </c>
      <c r="C6" s="65"/>
      <c r="D6" s="65"/>
      <c r="E6" s="65"/>
      <c r="F6" s="66" t="s">
        <v>22</v>
      </c>
      <c r="G6" s="77" t="str">
        <f>IF('Launch Build'!B15&lt;&gt;0,'Launch Build'!B15,"")</f>
        <v/>
      </c>
    </row>
    <row r="7" spans="1:7" ht="12.75" customHeight="1">
      <c r="A7" s="67"/>
      <c r="B7" s="65"/>
      <c r="C7" s="65"/>
      <c r="D7" s="65"/>
      <c r="E7" s="65"/>
      <c r="F7" s="66" t="s">
        <v>375</v>
      </c>
      <c r="G7" s="91" t="str">
        <f>IF('Launch Build'!B7&lt;&gt;0,'Launch Build'!B7,"")</f>
        <v/>
      </c>
    </row>
    <row r="8" spans="1:7" ht="12.75" customHeight="1" thickBot="1">
      <c r="A8" s="68"/>
      <c r="B8" s="69"/>
      <c r="C8" s="69"/>
      <c r="D8" s="69"/>
      <c r="E8" s="69"/>
      <c r="F8" s="70"/>
      <c r="G8" s="71"/>
    </row>
    <row r="9" spans="1:7" ht="12.75" customHeight="1">
      <c r="A9" s="95" t="str">
        <f>EBR!A50</f>
        <v>MES Lot Number</v>
      </c>
      <c r="B9" s="96" t="str">
        <f>IF(EBR!B50&lt;&gt;0,EBR!B50,"")</f>
        <v>SAP Batch Lot Number</v>
      </c>
      <c r="C9" s="364" t="str">
        <f>EBR!C50</f>
        <v>Wafer Qty</v>
      </c>
      <c r="D9" s="365"/>
      <c r="E9" s="366"/>
      <c r="F9" s="96" t="str">
        <f>IF(EBR!F50&lt;&gt;0,EBR!F50,"")</f>
        <v>Build Quantity</v>
      </c>
      <c r="G9" s="97" t="str">
        <f>IF(EBR!G50&lt;&gt;0,EBR!G50,"")</f>
        <v>Comments/Wafer #'s</v>
      </c>
    </row>
    <row r="10" spans="1:7" ht="12.75" customHeight="1">
      <c r="A10" s="72" t="str">
        <f>IF(AND('Launch Build'!C34="YES",EBR!A51&lt;&gt;0),EBR!A51,"")</f>
        <v/>
      </c>
      <c r="B10" s="73" t="str">
        <f>IF(EBR!B51&lt;&gt;0,EBR!B51,"")</f>
        <v/>
      </c>
      <c r="C10" s="367" t="str">
        <f>IF(EBR!C51&lt;&gt;0,EBR!C51,"")</f>
        <v/>
      </c>
      <c r="D10" s="368"/>
      <c r="E10" s="369"/>
      <c r="F10" s="73" t="str">
        <f>IF(EBR!F51&lt;&gt;0,EBR!F51,"")</f>
        <v/>
      </c>
      <c r="G10" s="74" t="str">
        <f>IF(EBR!G51&lt;&gt;0,EBR!G51,"")</f>
        <v/>
      </c>
    </row>
    <row r="11" spans="1:7" ht="12.75" customHeight="1">
      <c r="A11" s="72" t="str">
        <f>IF(AND('Launch Build'!C34="YES",EBR!A52&lt;&gt;0),EBR!A52,"")</f>
        <v/>
      </c>
      <c r="B11" s="73" t="str">
        <f>IF(EBR!B52&lt;&gt;0,EBR!B52,"")</f>
        <v/>
      </c>
      <c r="C11" s="367" t="str">
        <f>IF(EBR!C52&lt;&gt;0,EBR!C52,"")</f>
        <v/>
      </c>
      <c r="D11" s="368"/>
      <c r="E11" s="369"/>
      <c r="F11" s="73" t="str">
        <f>IF(EBR!F52&lt;&gt;0,EBR!F52,"")</f>
        <v/>
      </c>
      <c r="G11" s="74" t="str">
        <f>IF(EBR!G52&lt;&gt;0,EBR!G52,"")</f>
        <v/>
      </c>
    </row>
    <row r="12" spans="1:7" ht="12.75" customHeight="1">
      <c r="A12" s="72" t="str">
        <f>IF(AND('Launch Build'!C34="YES",EBR!A53&lt;&gt;0),EBR!A53,"")</f>
        <v/>
      </c>
      <c r="B12" s="73" t="str">
        <f>IF(EBR!B53&lt;&gt;0,EBR!B53,"")</f>
        <v/>
      </c>
      <c r="C12" s="367" t="str">
        <f>IF(EBR!C53&lt;&gt;0,EBR!C53,"")</f>
        <v/>
      </c>
      <c r="D12" s="368"/>
      <c r="E12" s="369"/>
      <c r="F12" s="73" t="str">
        <f>IF(EBR!F53&lt;&gt;0,EBR!F53,"")</f>
        <v/>
      </c>
      <c r="G12" s="74" t="str">
        <f>IF(EBR!G53&lt;&gt;0,EBR!G53,"")</f>
        <v/>
      </c>
    </row>
    <row r="13" spans="1:7" ht="12.75" customHeight="1">
      <c r="A13" s="72" t="str">
        <f>IF(AND('Launch Build'!C34="YES",EBR!A54&lt;&gt;0),EBR!A54,"")</f>
        <v/>
      </c>
      <c r="B13" s="73" t="str">
        <f>IF(EBR!B54&lt;&gt;0,EBR!B54,"")</f>
        <v/>
      </c>
      <c r="C13" s="367" t="str">
        <f>IF(EBR!C54&lt;&gt;0,EBR!C54,"")</f>
        <v/>
      </c>
      <c r="D13" s="368"/>
      <c r="E13" s="369"/>
      <c r="F13" s="73" t="str">
        <f>IF(EBR!F54&lt;&gt;0,EBR!F54,"")</f>
        <v/>
      </c>
      <c r="G13" s="74" t="str">
        <f>IF(EBR!G54&lt;&gt;0,EBR!G54,"")</f>
        <v/>
      </c>
    </row>
    <row r="14" spans="1:7" ht="12.75" customHeight="1">
      <c r="A14" s="72" t="str">
        <f>IF(AND('Launch Build'!C34="YES",EBR!A55&lt;&gt;0),EBR!A55,"")</f>
        <v/>
      </c>
      <c r="B14" s="73" t="str">
        <f>IF(EBR!B55&lt;&gt;0,EBR!B55,"")</f>
        <v/>
      </c>
      <c r="C14" s="367" t="str">
        <f>IF(EBR!C55&lt;&gt;0,EBR!C55,"")</f>
        <v/>
      </c>
      <c r="D14" s="368"/>
      <c r="E14" s="369"/>
      <c r="F14" s="73" t="str">
        <f>IF(EBR!F55&lt;&gt;0,EBR!F55,"")</f>
        <v/>
      </c>
      <c r="G14" s="74" t="str">
        <f>IF(EBR!G55&lt;&gt;0,EBR!G55,"")</f>
        <v/>
      </c>
    </row>
    <row r="15" spans="1:7" ht="12.75" customHeight="1" thickBot="1">
      <c r="A15" s="183" t="str">
        <f>IF(AND('Launch Build'!C34="YES",EBR!A56&lt;&gt;0),EBR!A56,"")</f>
        <v/>
      </c>
      <c r="B15" s="75" t="str">
        <f>IF(EBR!B56&lt;&gt;0,EBR!B56,"")</f>
        <v/>
      </c>
      <c r="C15" s="370" t="str">
        <f>IF(EBR!C56&lt;&gt;0,EBR!C56,"")</f>
        <v/>
      </c>
      <c r="D15" s="371"/>
      <c r="E15" s="372"/>
      <c r="F15" s="75" t="str">
        <f>IF(EBR!F56&lt;&gt;0,EBR!F56,"")</f>
        <v/>
      </c>
      <c r="G15" s="76" t="str">
        <f>IF(EBR!G56&lt;&gt;0,EBR!G56,"")</f>
        <v/>
      </c>
    </row>
    <row r="16" spans="1:7" ht="12.75" customHeight="1" thickBot="1"/>
    <row r="17" spans="1:7">
      <c r="A17" s="43" t="str">
        <f>IF(EBR!A4&lt;&gt;0,(EBR!A4),"")</f>
        <v>Device/Comets#/IMS PID #:</v>
      </c>
      <c r="B17" s="270" t="str">
        <f>IF(EBR!B4&lt;&gt;0,(EBR!B4),"")</f>
        <v/>
      </c>
      <c r="C17" s="271"/>
      <c r="D17" s="271"/>
      <c r="E17" s="271"/>
      <c r="F17" s="85" t="s">
        <v>228</v>
      </c>
      <c r="G17" s="270" t="str">
        <f>IF(EBR!G8&lt;&gt;0,(EBR!G8),"")</f>
        <v/>
      </c>
    </row>
    <row r="18" spans="1:7">
      <c r="A18" s="206" t="str">
        <f>IF(EBR!A5&lt;&gt;0,(EBR!A5),"")</f>
        <v>AL/C0/SL/QS/T's # + Rev:</v>
      </c>
      <c r="B18" s="270" t="str">
        <f>IF(EBR!B5&lt;&gt;0,(EBR!B5),"")</f>
        <v/>
      </c>
      <c r="C18" s="271"/>
      <c r="D18" s="271"/>
      <c r="E18" s="271"/>
      <c r="F18" s="79" t="s">
        <v>12</v>
      </c>
      <c r="G18" s="270" t="str">
        <f>IF(EBR!B23&lt;&gt;0,(EBR!B23),"")</f>
        <v/>
      </c>
    </row>
    <row r="19" spans="1:7">
      <c r="A19" s="79" t="str">
        <f>IF(EBR!A7&lt;&gt;0,(EBR!A7),"")</f>
        <v>PMPN:</v>
      </c>
      <c r="B19" s="270" t="str">
        <f>IF(EBR!B7&lt;&gt;0,(EBR!B7),"")</f>
        <v/>
      </c>
      <c r="C19" s="271"/>
      <c r="D19" s="271"/>
      <c r="E19" s="271"/>
      <c r="F19" s="79" t="str">
        <f>EBR!A25</f>
        <v>Assembly Flow (Optional):</v>
      </c>
      <c r="G19" s="270" t="str">
        <f>IF(EBR!B25&lt;&gt;0,(EBR!B25),"")</f>
        <v/>
      </c>
    </row>
    <row r="20" spans="1:7">
      <c r="A20" s="79" t="str">
        <f>IF(EBR!A8&lt;&gt;0,(EBR!A8),"")</f>
        <v>AMPN:</v>
      </c>
      <c r="B20" s="270" t="str">
        <f>IF(EBR!B8&lt;&gt;0,(EBR!B8),"")</f>
        <v/>
      </c>
      <c r="C20" s="272"/>
      <c r="D20" s="272"/>
      <c r="E20" s="272"/>
      <c r="F20" s="79" t="s">
        <v>160</v>
      </c>
      <c r="G20" s="270" t="str">
        <f>IF(EBR!B18&lt;&gt;0,(EBR!B18),"")</f>
        <v/>
      </c>
    </row>
    <row r="21" spans="1:7">
      <c r="A21" s="79" t="str">
        <f>IF(EBR!A9&lt;&gt;0,(EBR!A9),"")</f>
        <v>TMPN:</v>
      </c>
      <c r="B21" s="270" t="str">
        <f>IF(EBR!B9&lt;&gt;0,(EBR!B9),"")</f>
        <v/>
      </c>
      <c r="C21" s="273"/>
      <c r="D21" s="273"/>
      <c r="E21" s="273"/>
      <c r="F21" s="79" t="s">
        <v>263</v>
      </c>
      <c r="G21" s="219"/>
    </row>
    <row r="22" spans="1:7">
      <c r="A22" s="79" t="str">
        <f>IF(EBR!A10&lt;&gt;0,(EBR!A10),"")</f>
        <v>FMPN:</v>
      </c>
      <c r="B22" s="270" t="str">
        <f>IF(EBR!B10&lt;&gt;0,(EBR!B10),"")</f>
        <v/>
      </c>
      <c r="C22" s="273"/>
      <c r="D22" s="273"/>
      <c r="E22" s="273"/>
      <c r="F22" s="79" t="s">
        <v>13</v>
      </c>
      <c r="G22" s="219"/>
    </row>
    <row r="23" spans="1:7">
      <c r="A23" s="79" t="str">
        <f>IF(EBR!A11&lt;&gt;0,(EBR!A11),"")</f>
        <v>CPN or SAP MATERIAL:</v>
      </c>
      <c r="B23" s="270" t="str">
        <f>IF(EBR!B11&lt;&gt;0,(EBR!B11),"")</f>
        <v/>
      </c>
      <c r="C23" s="273"/>
      <c r="D23" s="273"/>
      <c r="E23" s="273"/>
      <c r="F23" s="79" t="s">
        <v>264</v>
      </c>
      <c r="G23" s="219"/>
    </row>
    <row r="24" spans="1:7">
      <c r="A24" s="79" t="str">
        <f>IF(EBR!A12&lt;&gt;0,(EBR!A12),"")</f>
        <v>Package:</v>
      </c>
      <c r="B24" s="270" t="str">
        <f>IF(EBR!B12&lt;&gt;0,(EBR!B12),"")</f>
        <v/>
      </c>
      <c r="C24" s="273"/>
      <c r="D24" s="273"/>
      <c r="E24" s="273"/>
      <c r="F24" s="79" t="s">
        <v>14</v>
      </c>
      <c r="G24" s="219"/>
    </row>
    <row r="25" spans="1:7">
      <c r="A25" s="79" t="str">
        <f>IF(EBR!A13&lt;&gt;0,(EBR!A13),"")</f>
        <v>Package Size:</v>
      </c>
      <c r="B25" s="270" t="str">
        <f>IF(EBR!B13&lt;&gt;0,(EBR!B13),"")</f>
        <v/>
      </c>
      <c r="C25" s="273"/>
      <c r="D25" s="273"/>
      <c r="E25" s="273"/>
      <c r="F25" s="79" t="s">
        <v>15</v>
      </c>
      <c r="G25" s="219"/>
    </row>
    <row r="26" spans="1:7">
      <c r="A26" s="79" t="str">
        <f>IF(EBR!A14&lt;&gt;0,(EBR!A14),"")</f>
        <v>Leads:</v>
      </c>
      <c r="B26" s="270" t="str">
        <f>IF(EBR!B14&lt;&gt;0,(EBR!B14),"")</f>
        <v/>
      </c>
      <c r="C26" s="271"/>
      <c r="D26" s="271"/>
      <c r="E26" s="271"/>
      <c r="F26" s="79" t="s">
        <v>387</v>
      </c>
      <c r="G26" s="274" t="str">
        <f>IF(EBR!G14&lt;&gt;0,(EBR!G14),"")</f>
        <v/>
      </c>
    </row>
    <row r="27" spans="1:7" ht="13.5" thickBot="1">
      <c r="A27" s="79" t="str">
        <f>EBR!A15</f>
        <v>Speed:</v>
      </c>
      <c r="B27" s="270" t="str">
        <f>IF(EBR!B15&lt;&gt;0,(EBR!B15),"")</f>
        <v/>
      </c>
      <c r="C27" s="271"/>
      <c r="D27" s="271"/>
      <c r="E27" s="271"/>
      <c r="F27" s="80" t="s">
        <v>166</v>
      </c>
      <c r="G27" s="275"/>
    </row>
    <row r="28" spans="1:7" ht="12.75" customHeight="1" thickBot="1">
      <c r="A28" s="79" t="str">
        <f>EBR!A16</f>
        <v>eABI/EBR Revision :</v>
      </c>
      <c r="B28" s="270" t="str">
        <f>IF(EBR!B16&lt;&gt;0,(EBR!B16),"")</f>
        <v>01</v>
      </c>
      <c r="C28" s="271"/>
      <c r="D28" s="271"/>
      <c r="E28" s="271"/>
      <c r="F28" s="276"/>
      <c r="G28" s="277"/>
    </row>
    <row r="29" spans="1:7" ht="12.75" customHeight="1" thickBot="1">
      <c r="A29" s="85" t="str">
        <f>IF(EBR!A17&lt;&gt;0,(EBR!A17),"")</f>
        <v>Wafer Size:</v>
      </c>
      <c r="B29" s="270" t="str">
        <f>IF(EBR!B17&lt;&gt;0,(EBR!B17),"")</f>
        <v/>
      </c>
      <c r="C29" s="271"/>
      <c r="D29" s="271"/>
      <c r="E29" s="271"/>
      <c r="F29" s="373" t="str">
        <f>EBR!F19</f>
        <v>Assembly/Special Instructions</v>
      </c>
      <c r="G29" s="374"/>
    </row>
    <row r="30" spans="1:7" ht="12.75" customHeight="1" thickBot="1">
      <c r="A30" s="278" t="s">
        <v>581</v>
      </c>
      <c r="B30" s="279" t="str">
        <f>IF(EBR!G15&lt;&gt;0,(EBR!G15),"")</f>
        <v/>
      </c>
      <c r="C30" s="271"/>
      <c r="D30" s="271"/>
      <c r="E30" s="271"/>
      <c r="F30" s="379" t="s">
        <v>701</v>
      </c>
      <c r="G30" s="380"/>
    </row>
    <row r="31" spans="1:7" ht="12.75" customHeight="1">
      <c r="A31" s="280" t="s">
        <v>103</v>
      </c>
      <c r="B31" s="281"/>
      <c r="C31" s="271"/>
      <c r="D31" s="271"/>
      <c r="E31" s="271"/>
      <c r="F31" s="381" t="s">
        <v>702</v>
      </c>
      <c r="G31" s="382"/>
    </row>
    <row r="32" spans="1:7" ht="12.75" customHeight="1">
      <c r="A32" s="265" t="str">
        <f>EBR!A20</f>
        <v>Fab Code:</v>
      </c>
      <c r="B32" s="282" t="str">
        <f>IF(EBR!B20&lt;&gt;0,(EBR!B20),"")</f>
        <v/>
      </c>
      <c r="C32" s="271"/>
      <c r="D32" s="271"/>
      <c r="E32" s="271"/>
      <c r="F32" s="360" t="str">
        <f>IF(EBR!F22&lt;&gt;0,EBR!F22,"")</f>
        <v/>
      </c>
      <c r="G32" s="361"/>
    </row>
    <row r="33" spans="1:7" ht="12.75" customHeight="1">
      <c r="A33" s="265" t="str">
        <f>EBR!A21</f>
        <v>Power/Voltage:</v>
      </c>
      <c r="B33" s="282" t="str">
        <f>IF(EBR!B21&lt;&gt;0,(EBR!B21),"")</f>
        <v/>
      </c>
      <c r="C33" s="271"/>
      <c r="D33" s="271"/>
      <c r="E33" s="271"/>
      <c r="F33" s="362"/>
      <c r="G33" s="363"/>
    </row>
    <row r="34" spans="1:7" ht="12.75" customHeight="1">
      <c r="A34" s="265" t="str">
        <f>EBR!A29</f>
        <v>MRL:</v>
      </c>
      <c r="B34" s="282" t="str">
        <f>IF(EBR!B29&lt;&gt;0,(EBR!B29),"")</f>
        <v/>
      </c>
      <c r="C34" s="271"/>
      <c r="D34" s="271"/>
      <c r="E34" s="271"/>
      <c r="F34" s="362"/>
      <c r="G34" s="363"/>
    </row>
    <row r="35" spans="1:7" ht="12.75" customHeight="1">
      <c r="A35" s="265" t="str">
        <f>EBR!A31</f>
        <v>Requires Special Mark (Y/N):</v>
      </c>
      <c r="B35" s="282" t="str">
        <f>IF(EBR!B31&lt;&gt;0,(EBR!B31),"")</f>
        <v/>
      </c>
      <c r="C35" s="271"/>
      <c r="D35" s="271"/>
      <c r="E35" s="271"/>
      <c r="F35" s="362"/>
      <c r="G35" s="363"/>
    </row>
    <row r="36" spans="1:7" ht="12.75" customHeight="1">
      <c r="A36" s="85" t="str">
        <f>EBR!A33</f>
        <v>Marking Code (SJO):</v>
      </c>
      <c r="B36" s="282" t="str">
        <f>IF(EBR!B33&lt;&gt;0,(EBR!B33),"")</f>
        <v/>
      </c>
      <c r="C36" s="273"/>
      <c r="D36" s="273"/>
      <c r="E36" s="271"/>
      <c r="F36" s="362"/>
      <c r="G36" s="363"/>
    </row>
    <row r="37" spans="1:7" ht="12.75" customHeight="1">
      <c r="A37" s="283" t="str">
        <f>IF(EBR!B34&lt;&gt;0,EBR!B34,"")</f>
        <v/>
      </c>
      <c r="B37" s="284"/>
      <c r="C37" s="273"/>
      <c r="D37" s="273"/>
      <c r="E37" s="271"/>
      <c r="F37" s="362"/>
      <c r="G37" s="363"/>
    </row>
    <row r="38" spans="1:7" ht="12.75" customHeight="1">
      <c r="A38" s="79" t="s">
        <v>68</v>
      </c>
      <c r="B38" s="270" t="str">
        <f>IF(EBR!B35&lt;&gt;0,EBR!B35,"")</f>
        <v/>
      </c>
      <c r="C38" s="273"/>
      <c r="D38" s="273"/>
      <c r="E38" s="271"/>
      <c r="F38" s="362"/>
      <c r="G38" s="363"/>
    </row>
    <row r="39" spans="1:7" ht="12.75" customHeight="1">
      <c r="A39" s="79" t="s">
        <v>106</v>
      </c>
      <c r="B39" s="270" t="str">
        <f>IF(EBR!B36&lt;&gt;0,(EBR!B36),"")</f>
        <v/>
      </c>
      <c r="C39" s="273"/>
      <c r="D39" s="273"/>
      <c r="E39" s="271"/>
      <c r="F39" s="362"/>
      <c r="G39" s="363"/>
    </row>
    <row r="40" spans="1:7" ht="12.75" customHeight="1">
      <c r="A40" s="79" t="s">
        <v>69</v>
      </c>
      <c r="B40" s="270" t="str">
        <f>IF(EBR!B37&lt;&gt;0,EBR!B37,"")</f>
        <v/>
      </c>
      <c r="C40" s="273"/>
      <c r="D40" s="273"/>
      <c r="E40" s="271"/>
      <c r="F40" s="383"/>
      <c r="G40" s="384"/>
    </row>
    <row r="41" spans="1:7" ht="12.75" customHeight="1" thickBot="1">
      <c r="A41" s="79" t="s">
        <v>70</v>
      </c>
      <c r="B41" s="270" t="str">
        <f>IF(EBR!B38&lt;&gt;0,(EBR!B38),"")</f>
        <v/>
      </c>
      <c r="C41" s="273"/>
      <c r="D41" s="273"/>
      <c r="E41" s="271"/>
      <c r="F41" s="285" t="str">
        <f>IF(EBR!F31&lt;&gt;0,EBR!F31,"")</f>
        <v>Pack and label per ATMEL Procedure MP-5003.</v>
      </c>
      <c r="G41" s="286"/>
    </row>
    <row r="42" spans="1:7" ht="12.75" customHeight="1" thickBot="1">
      <c r="A42" s="79" t="s">
        <v>229</v>
      </c>
      <c r="B42" s="270" t="str">
        <f>IF(EBR!B39&lt;&gt;0,EBR!B39,"")</f>
        <v/>
      </c>
      <c r="C42" s="273"/>
      <c r="D42" s="273"/>
      <c r="E42" s="271"/>
      <c r="F42" s="287"/>
      <c r="G42" s="271"/>
    </row>
    <row r="43" spans="1:7" ht="12.75" customHeight="1" thickBot="1">
      <c r="A43" s="288" t="s">
        <v>230</v>
      </c>
      <c r="B43" s="289" t="str">
        <f>IF(EBR!B40&lt;&gt;0,(EBR!B40),"")</f>
        <v/>
      </c>
      <c r="C43" s="271"/>
      <c r="D43" s="271"/>
      <c r="E43" s="271"/>
      <c r="F43" s="78" t="str">
        <f>EBR!F33</f>
        <v>Test Location:</v>
      </c>
      <c r="G43" s="290" t="str">
        <f>IF(EBR!G33&lt;&gt;0,(EBR!G33),"")</f>
        <v/>
      </c>
    </row>
    <row r="44" spans="1:7" ht="12.75" customHeight="1">
      <c r="A44" s="177" t="s">
        <v>621</v>
      </c>
      <c r="B44" s="291"/>
      <c r="C44" s="271"/>
      <c r="D44" s="271"/>
      <c r="E44" s="271"/>
      <c r="F44" s="79" t="str">
        <f>EBR!F36</f>
        <v>Test Program:</v>
      </c>
      <c r="G44" s="270" t="str">
        <f>IF(EBR!G36&lt;&gt;0,(EBR!G36),"")</f>
        <v/>
      </c>
    </row>
    <row r="45" spans="1:7" ht="12.75" customHeight="1">
      <c r="A45" s="178" t="s">
        <v>532</v>
      </c>
      <c r="B45" s="292"/>
      <c r="C45" s="271"/>
      <c r="D45" s="271"/>
      <c r="E45" s="271"/>
      <c r="F45" s="85" t="str">
        <f>EBR!F37</f>
        <v>Test Progam Available:</v>
      </c>
      <c r="G45" s="270" t="str">
        <f>IF(EBR!G37&lt;&gt;0,(EBR!G37),"")</f>
        <v/>
      </c>
    </row>
    <row r="46" spans="1:7" ht="12.75" customHeight="1">
      <c r="A46" s="178" t="s">
        <v>533</v>
      </c>
      <c r="B46" s="292"/>
      <c r="C46" s="271"/>
      <c r="D46" s="271"/>
      <c r="E46" s="271"/>
      <c r="F46" s="332" t="str">
        <f>EBR!F38</f>
        <v>If No, when will it be available:</v>
      </c>
      <c r="G46" s="331" t="str">
        <f>IF(EBR!G38&lt;&gt;0,(EBR!G38),"")</f>
        <v/>
      </c>
    </row>
    <row r="47" spans="1:7" ht="12.75" customHeight="1">
      <c r="A47" s="178" t="s">
        <v>484</v>
      </c>
      <c r="B47" s="292"/>
      <c r="C47" s="271"/>
      <c r="D47" s="271"/>
      <c r="E47" s="271"/>
      <c r="F47" s="85" t="str">
        <f>EBR!F62</f>
        <v>Requires Test Pgm Approval?</v>
      </c>
      <c r="G47" s="270" t="str">
        <f>IF(EBR!G62&lt;&gt;0,EBR!G62,"")</f>
        <v/>
      </c>
    </row>
    <row r="48" spans="1:7" ht="12.75" customHeight="1" thickBot="1">
      <c r="A48" s="179" t="s">
        <v>582</v>
      </c>
      <c r="B48" s="293"/>
      <c r="C48" s="271"/>
      <c r="D48" s="271"/>
      <c r="E48" s="271"/>
      <c r="F48" s="79" t="str">
        <f>EBR!F34</f>
        <v>Probe Status:</v>
      </c>
      <c r="G48" s="270" t="str">
        <f>IF(EBR!G34&lt;&gt;0,(EBR!G34),"")</f>
        <v/>
      </c>
    </row>
    <row r="49" spans="1:7" ht="12.75" customHeight="1" thickBot="1">
      <c r="A49" s="295" t="s">
        <v>104</v>
      </c>
      <c r="B49" s="296"/>
      <c r="C49" s="271"/>
      <c r="D49" s="271"/>
      <c r="E49" s="271"/>
      <c r="F49" s="80" t="str">
        <f>EBR!F35</f>
        <v>Package Test Type:</v>
      </c>
      <c r="G49" s="294" t="str">
        <f>IF(EBR!G35&lt;&gt;0,(EBR!G35),"")</f>
        <v/>
      </c>
    </row>
    <row r="50" spans="1:7" ht="12.75" customHeight="1">
      <c r="A50" s="358" t="str">
        <f>CONCATENATE("Purpose of Build: ",EBR!G4)</f>
        <v xml:space="preserve">Purpose of Build: </v>
      </c>
      <c r="B50" s="359"/>
      <c r="C50" s="271"/>
      <c r="D50" s="271"/>
      <c r="E50" s="271"/>
      <c r="F50" s="295" t="s">
        <v>363</v>
      </c>
      <c r="G50" s="330"/>
    </row>
    <row r="51" spans="1:7" ht="12.75" customHeight="1">
      <c r="A51" s="375" t="str">
        <f>CONCATENATE("Owner: ",EBR!G5)</f>
        <v xml:space="preserve">Owner: </v>
      </c>
      <c r="B51" s="376"/>
      <c r="C51" s="271"/>
      <c r="D51" s="271"/>
      <c r="E51" s="271"/>
      <c r="F51" s="360" t="str">
        <f>IF(EBR!F40&lt;&gt;0,EBR!F40,"")</f>
        <v/>
      </c>
      <c r="G51" s="361"/>
    </row>
    <row r="52" spans="1:7" ht="12.75" customHeight="1" thickBot="1">
      <c r="A52" s="377" t="str">
        <f>CONCATENATE("CycleTime: ",EBR!G6)</f>
        <v xml:space="preserve">CycleTime: </v>
      </c>
      <c r="B52" s="378"/>
      <c r="C52" s="271"/>
      <c r="D52" s="271"/>
      <c r="E52" s="271"/>
      <c r="F52" s="362"/>
      <c r="G52" s="363"/>
    </row>
    <row r="53" spans="1:7" ht="12.75" customHeight="1">
      <c r="A53" s="78" t="str">
        <f>EBR!A26</f>
        <v>Packing Type:</v>
      </c>
      <c r="B53" s="297" t="str">
        <f>IF(EBR!B26&lt;&gt;0,(EBR!B26),"")</f>
        <v/>
      </c>
      <c r="C53" s="271"/>
      <c r="D53" s="271"/>
      <c r="E53" s="271"/>
      <c r="F53" s="362"/>
      <c r="G53" s="363"/>
    </row>
    <row r="54" spans="1:7" ht="12.75" customHeight="1" thickBot="1">
      <c r="A54" s="80" t="s">
        <v>72</v>
      </c>
      <c r="B54" s="230"/>
      <c r="C54" s="271"/>
      <c r="D54" s="271"/>
      <c r="E54" s="271"/>
      <c r="F54" s="362"/>
      <c r="G54" s="363"/>
    </row>
    <row r="55" spans="1:7" ht="12.75" customHeight="1" thickBot="1">
      <c r="A55" s="271"/>
      <c r="B55" s="271"/>
      <c r="C55" s="271"/>
      <c r="D55" s="271"/>
      <c r="E55" s="271"/>
      <c r="F55" s="362"/>
      <c r="G55" s="363"/>
    </row>
    <row r="56" spans="1:7" ht="12.75" customHeight="1">
      <c r="A56" s="78" t="s">
        <v>74</v>
      </c>
      <c r="B56" s="297" t="str">
        <f>IF(EBR!B42&lt;&gt;0,(EBR!B42),"")</f>
        <v/>
      </c>
      <c r="C56" s="271"/>
      <c r="D56" s="271"/>
      <c r="E56" s="271"/>
      <c r="F56" s="362"/>
      <c r="G56" s="363"/>
    </row>
    <row r="57" spans="1:7" ht="12.75" customHeight="1">
      <c r="A57" s="79" t="s">
        <v>115</v>
      </c>
      <c r="B57" s="282" t="str">
        <f>IF(EBR!B43&lt;&gt;0,(EBR!B43),"")</f>
        <v/>
      </c>
      <c r="C57" s="271"/>
      <c r="D57" s="271"/>
      <c r="E57" s="271"/>
      <c r="F57" s="362"/>
      <c r="G57" s="363"/>
    </row>
    <row r="58" spans="1:7" ht="12.75" customHeight="1">
      <c r="A58" s="79" t="s">
        <v>74</v>
      </c>
      <c r="B58" s="282" t="str">
        <f>IF(EBR!B44&lt;&gt;0,(EBR!B44),"")</f>
        <v/>
      </c>
      <c r="C58" s="271"/>
      <c r="D58" s="271"/>
      <c r="E58" s="271"/>
      <c r="F58" s="362"/>
      <c r="G58" s="363"/>
    </row>
    <row r="59" spans="1:7" ht="12.75" customHeight="1" thickBot="1">
      <c r="A59" s="79" t="s">
        <v>115</v>
      </c>
      <c r="B59" s="282" t="str">
        <f>IF(EBR!B45&lt;&gt;0,(EBR!B45),"")</f>
        <v/>
      </c>
      <c r="C59" s="271"/>
      <c r="D59" s="271"/>
      <c r="E59" s="271"/>
      <c r="F59" s="362"/>
      <c r="G59" s="363"/>
    </row>
    <row r="60" spans="1:7" ht="12.75" customHeight="1" thickBot="1">
      <c r="A60" s="80" t="s">
        <v>57</v>
      </c>
      <c r="B60" s="298" t="str">
        <f>IF(EBR!B46&lt;&gt;0,(EBR!B46),"")</f>
        <v/>
      </c>
      <c r="C60" s="271"/>
      <c r="D60" s="271"/>
      <c r="E60" s="271"/>
      <c r="F60" s="299" t="str">
        <f>EBR!F11</f>
        <v>Scrap Excess Die/Wafers?</v>
      </c>
      <c r="G60" s="300" t="str">
        <f>IF(EBR!G11&lt;&gt;0,(EBR!G11),"")</f>
        <v/>
      </c>
    </row>
    <row r="61" spans="1:7" ht="12.75" customHeight="1">
      <c r="A61" s="301"/>
      <c r="B61" s="302"/>
      <c r="C61" s="302"/>
      <c r="D61" s="302"/>
      <c r="E61" s="302"/>
      <c r="F61" s="303" t="s">
        <v>100</v>
      </c>
      <c r="G61" s="304" t="str">
        <f>IF(EBR!B30&lt;&gt;0,EBR!B30,"")</f>
        <v/>
      </c>
    </row>
    <row r="62" spans="1:7" ht="12.75" customHeight="1" thickBot="1">
      <c r="A62" s="80" t="s">
        <v>216</v>
      </c>
      <c r="B62" s="305"/>
      <c r="C62" s="306"/>
      <c r="D62" s="306"/>
      <c r="E62" s="306"/>
      <c r="F62" s="307" t="s">
        <v>116</v>
      </c>
      <c r="G62" s="298" t="str">
        <f>IF(EBR!G17&lt;&gt;0,(EBR!G17 &amp;" "&amp;"REV"&amp;" "&amp; EBR!G18),"")</f>
        <v/>
      </c>
    </row>
    <row r="63" spans="1:7" ht="12.75" customHeight="1"/>
    <row r="64" spans="1:7" ht="12.75" customHeight="1">
      <c r="A64" s="165" t="s">
        <v>431</v>
      </c>
    </row>
    <row r="65" spans="1:1" ht="12.75" customHeight="1">
      <c r="A65" s="175" t="s">
        <v>448</v>
      </c>
    </row>
  </sheetData>
  <sheetProtection sheet="1" objects="1" scenarios="1" selectLockedCells="1"/>
  <mergeCells count="15">
    <mergeCell ref="A50:B50"/>
    <mergeCell ref="F51:G59"/>
    <mergeCell ref="C9:E9"/>
    <mergeCell ref="C10:E10"/>
    <mergeCell ref="C11:E11"/>
    <mergeCell ref="C12:E12"/>
    <mergeCell ref="C13:E13"/>
    <mergeCell ref="C14:E14"/>
    <mergeCell ref="C15:E15"/>
    <mergeCell ref="F29:G29"/>
    <mergeCell ref="A51:B51"/>
    <mergeCell ref="A52:B52"/>
    <mergeCell ref="F30:G30"/>
    <mergeCell ref="F31:G31"/>
    <mergeCell ref="F32:G40"/>
  </mergeCells>
  <phoneticPr fontId="10" type="noConversion"/>
  <pageMargins left="0.25" right="0.25" top="0.25" bottom="0.25" header="0" footer="0"/>
  <pageSetup scale="89" orientation="portrait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showGridLines="0" workbookViewId="0">
      <selection activeCell="B52" sqref="B52"/>
    </sheetView>
  </sheetViews>
  <sheetFormatPr defaultRowHeight="12.75"/>
  <sheetData>
    <row r="1" spans="1:1" ht="23.25">
      <c r="A1" s="148" t="str">
        <f>IF(EBR!G4="DVS Build","Design Verification Build !!!","")</f>
        <v/>
      </c>
    </row>
    <row r="2" spans="1:1" s="147" customFormat="1" ht="15"/>
    <row r="3" spans="1:1" s="147" customFormat="1" ht="15">
      <c r="A3" s="147" t="str">
        <f>IF(EBR!G4="DVS Build","All design rule violations shall be waved.","")</f>
        <v/>
      </c>
    </row>
    <row r="4" spans="1:1" s="147" customFormat="1" ht="15">
      <c r="A4" s="147" t="str">
        <f>IF(EBR!G4="DVS Build","Lots shall be process without interruption. Assemble on best effort basis and do not hold for yield loss.","")</f>
        <v/>
      </c>
    </row>
    <row r="5" spans="1:1" s="147" customFormat="1" ht="15"/>
    <row r="6" spans="1:1" s="147" customFormat="1" ht="15">
      <c r="A6" s="147" t="str">
        <f>IF(EBR!G4="DVS Build","Atmel Operation, Assembly, and Product Engineering shall be notified within 4 hours if the Lots are delayed.","")</f>
        <v/>
      </c>
    </row>
    <row r="7" spans="1:1" s="147" customFormat="1" ht="15"/>
    <row r="8" spans="1:1" s="147" customFormat="1" ht="15">
      <c r="A8" s="147" t="str">
        <f>IF(EBR!G4="DVS Build","Upon completion of the lot assembly, a GAP analysis shall be provided of any material or process that could jeopardize a subsequent production run.","")</f>
        <v/>
      </c>
    </row>
  </sheetData>
  <phoneticPr fontId="1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F68"/>
  <sheetViews>
    <sheetView showGridLines="0" workbookViewId="0">
      <selection activeCell="D13" sqref="D13"/>
    </sheetView>
  </sheetViews>
  <sheetFormatPr defaultRowHeight="12.75"/>
  <cols>
    <col min="1" max="1" width="22" customWidth="1"/>
    <col min="2" max="2" width="27.140625" customWidth="1"/>
    <col min="3" max="3" width="14.28515625" customWidth="1"/>
    <col min="4" max="4" width="30.28515625" customWidth="1"/>
    <col min="5" max="5" width="3.85546875" customWidth="1"/>
    <col min="6" max="6" width="30.140625" customWidth="1"/>
  </cols>
  <sheetData>
    <row r="1" spans="1:6">
      <c r="A1" s="4" t="s">
        <v>154</v>
      </c>
      <c r="B1" s="3"/>
      <c r="C1" s="2"/>
      <c r="D1" s="22" t="s">
        <v>75</v>
      </c>
    </row>
    <row r="2" spans="1:6">
      <c r="A2" s="51" t="s">
        <v>155</v>
      </c>
      <c r="B2" s="52"/>
      <c r="C2" s="34" t="s">
        <v>82</v>
      </c>
      <c r="D2" s="27" t="str">
        <f>IF(EBR!G10&lt;&gt;0,ABI!G62,"No Bond Diagram to Attach")</f>
        <v>No Bond Diagram to Attach</v>
      </c>
      <c r="E2" s="34" t="s">
        <v>101</v>
      </c>
    </row>
    <row r="3" spans="1:6" ht="13.5" thickBot="1">
      <c r="A3" s="53" t="s">
        <v>156</v>
      </c>
      <c r="B3" s="54"/>
      <c r="C3" s="34" t="s">
        <v>81</v>
      </c>
      <c r="D3" s="27" t="str">
        <f>IF(EBR!B28="Mark per Attached file",ABI!G61,"No Marking Diagram to Attach")</f>
        <v>No Marking Diagram to Attach</v>
      </c>
      <c r="E3" s="34" t="s">
        <v>102</v>
      </c>
    </row>
    <row r="4" spans="1:6" ht="13.5" thickBot="1">
      <c r="D4" s="167"/>
      <c r="E4" s="34" t="s">
        <v>218</v>
      </c>
    </row>
    <row r="5" spans="1:6" ht="13.5" thickBot="1">
      <c r="A5" s="13" t="s">
        <v>20</v>
      </c>
      <c r="B5" s="81" t="str">
        <f>IF(EBR!B23&lt;&gt;0,EBR!B23,"")</f>
        <v/>
      </c>
      <c r="C5" s="2"/>
      <c r="D5" s="168"/>
      <c r="E5" s="34" t="s">
        <v>217</v>
      </c>
    </row>
    <row r="6" spans="1:6" ht="13.5" thickBot="1">
      <c r="A6" s="14" t="s">
        <v>22</v>
      </c>
      <c r="B6" s="82" t="str">
        <f>IF(EBR!B47&lt;&gt;0,EBR!B47,"")</f>
        <v xml:space="preserve"> </v>
      </c>
      <c r="C6" s="20"/>
    </row>
    <row r="7" spans="1:6">
      <c r="A7" s="14" t="s">
        <v>21</v>
      </c>
      <c r="B7" s="102"/>
      <c r="C7" s="21"/>
      <c r="D7" s="22" t="s">
        <v>71</v>
      </c>
      <c r="F7" s="22" t="s">
        <v>262</v>
      </c>
    </row>
    <row r="8" spans="1:6">
      <c r="A8" s="14" t="s">
        <v>24</v>
      </c>
      <c r="B8" s="83" t="str">
        <f>IF(EBR!G6&lt;&gt;0,EBR!G6,"")</f>
        <v/>
      </c>
      <c r="C8" s="114" t="s">
        <v>250</v>
      </c>
      <c r="D8" s="28" t="str">
        <f>IF(B6&lt;&gt;0,B6,"")</f>
        <v xml:space="preserve"> </v>
      </c>
      <c r="F8" s="169"/>
    </row>
    <row r="9" spans="1:6" ht="13.5" thickBot="1">
      <c r="A9" s="15" t="s">
        <v>23</v>
      </c>
      <c r="B9" s="94" t="str">
        <f>IF(EBR!G60&lt;&gt;0,EBR!G60,"")</f>
        <v/>
      </c>
      <c r="C9" s="114" t="s">
        <v>251</v>
      </c>
      <c r="D9" s="28" t="str">
        <f>IF(B12&lt;&gt;0,B12,"")</f>
        <v/>
      </c>
      <c r="F9" s="169"/>
    </row>
    <row r="10" spans="1:6" ht="13.5" thickBot="1">
      <c r="C10" s="114" t="s">
        <v>252</v>
      </c>
      <c r="D10" s="28" t="str">
        <f>IF(B15&lt;&gt;0,B15,"")</f>
        <v/>
      </c>
      <c r="F10" s="169"/>
    </row>
    <row r="11" spans="1:6">
      <c r="A11" s="13" t="s">
        <v>76</v>
      </c>
      <c r="B11" s="81" t="str">
        <f>IF(EBR!B58&lt;&gt;0,EBR!B58,"")</f>
        <v/>
      </c>
      <c r="C11" s="114" t="s">
        <v>253</v>
      </c>
      <c r="D11" s="28" t="str">
        <f>IF(EBR!G59&lt;&gt;0,EBR!G59,"")</f>
        <v/>
      </c>
      <c r="F11" s="169"/>
    </row>
    <row r="12" spans="1:6">
      <c r="A12" s="37" t="s">
        <v>22</v>
      </c>
      <c r="B12" s="104" t="str">
        <f>IF(EBR!B59&lt;&gt;0,EBR!B59,"")</f>
        <v/>
      </c>
      <c r="C12" s="114" t="s">
        <v>254</v>
      </c>
      <c r="D12" s="169"/>
      <c r="F12" s="169"/>
    </row>
    <row r="13" spans="1:6">
      <c r="A13" s="14" t="s">
        <v>168</v>
      </c>
      <c r="B13" s="84"/>
      <c r="C13" s="114" t="s">
        <v>261</v>
      </c>
      <c r="D13" s="173"/>
      <c r="F13" s="169"/>
    </row>
    <row r="14" spans="1:6">
      <c r="A14" s="10" t="s">
        <v>109</v>
      </c>
      <c r="B14" s="84"/>
      <c r="C14" s="114" t="s">
        <v>255</v>
      </c>
      <c r="D14" s="171"/>
      <c r="F14" s="169"/>
    </row>
    <row r="15" spans="1:6" ht="13.5" thickBot="1">
      <c r="A15" s="15" t="s">
        <v>22</v>
      </c>
      <c r="B15" s="115"/>
      <c r="C15" s="114" t="s">
        <v>256</v>
      </c>
      <c r="D15" s="172"/>
      <c r="F15" s="170"/>
    </row>
    <row r="16" spans="1:6" ht="13.5" thickBot="1">
      <c r="A16" s="1"/>
      <c r="D16" s="128" t="s">
        <v>356</v>
      </c>
    </row>
    <row r="17" spans="1:6" ht="13.5" thickBot="1">
      <c r="A17" s="13" t="s">
        <v>26</v>
      </c>
      <c r="B17" s="35" t="str">
        <f>CONCATENATE(EBR!B61,"_",ABI!B62,"_","Rev","_",ABI!B28,"_",EBR!B58,"_",EBR!B23,"_",B20,"_","EBR")</f>
        <v>__Rev_01____EBR</v>
      </c>
      <c r="C17" s="35"/>
      <c r="D17" s="26"/>
      <c r="F17" s="256"/>
    </row>
    <row r="18" spans="1:6">
      <c r="A18" s="14" t="s">
        <v>27</v>
      </c>
      <c r="B18" s="25" t="str">
        <f>CONCATENATE(EBR!B61,"_",ABI!B62,"_","Rev","_",ABI!B28,"_",EBR!B58,"_",EBR!B23,"_",B20,"_","ABI")</f>
        <v>__Rev_01____ABI</v>
      </c>
      <c r="C18" s="25"/>
      <c r="D18" s="24"/>
      <c r="F18" s="254" t="s">
        <v>557</v>
      </c>
    </row>
    <row r="19" spans="1:6">
      <c r="A19" s="14" t="s">
        <v>162</v>
      </c>
      <c r="B19" s="25" t="str">
        <f>IF(EBR!G17&lt;&gt;0,EBR!G17,"")</f>
        <v/>
      </c>
      <c r="C19" s="25"/>
      <c r="D19" s="24"/>
      <c r="F19" s="255" t="str">
        <f>IF(SUMPRODUCT(COUNTIF('Launch Build'!D8,'Drop Downs'!G3:G8))&gt;0,'Launch Build'!D8,"")</f>
        <v/>
      </c>
    </row>
    <row r="20" spans="1:6">
      <c r="A20" s="110" t="s">
        <v>219</v>
      </c>
      <c r="B20" s="388"/>
      <c r="C20" s="389"/>
      <c r="D20" s="390"/>
      <c r="E20" s="109"/>
      <c r="F20" s="257" t="str">
        <f>IFERROR(IF(VLOOKUP($F$19,'Mail List'!$A:$M,2,FALSE)="","",VLOOKUP($F$19,'Mail List'!$A:$M,2,FALSE)),"")</f>
        <v/>
      </c>
    </row>
    <row r="21" spans="1:6">
      <c r="A21" s="14" t="s">
        <v>164</v>
      </c>
      <c r="B21" s="49" t="s">
        <v>158</v>
      </c>
      <c r="C21" s="107"/>
      <c r="D21" s="32"/>
      <c r="E21" s="2"/>
      <c r="F21" s="257" t="str">
        <f>IFERROR(IF(VLOOKUP($F$19,'Mail List'!$A:$M,3,FALSE)="","",VLOOKUP($F$19,'Mail List'!$A:$M,3,FALSE)),"")</f>
        <v/>
      </c>
    </row>
    <row r="22" spans="1:6" ht="13.5" thickBot="1">
      <c r="A22" s="15" t="s">
        <v>25</v>
      </c>
      <c r="B22" s="50" t="s">
        <v>157</v>
      </c>
      <c r="C22" s="33"/>
      <c r="D22" s="108"/>
      <c r="E22" s="2"/>
      <c r="F22" s="257" t="str">
        <f>IFERROR(IF(VLOOKUP($F$19,'Mail List'!$A:$M,4,FALSE)="","",VLOOKUP($F$19,'Mail List'!$A:$M,4,FALSE)),"")</f>
        <v/>
      </c>
    </row>
    <row r="23" spans="1:6" ht="13.5" thickBot="1">
      <c r="A23" s="42"/>
      <c r="B23" s="47"/>
      <c r="C23" s="7"/>
      <c r="E23" s="7"/>
      <c r="F23" s="257" t="str">
        <f>IFERROR(IF(VLOOKUP($F$19,'Mail List'!$A:$M,5,FALSE)="","",VLOOKUP($F$19,'Mail List'!$A:$M,5,FALSE)),"")</f>
        <v/>
      </c>
    </row>
    <row r="24" spans="1:6">
      <c r="A24" s="13" t="s">
        <v>66</v>
      </c>
      <c r="B24" s="88"/>
      <c r="D24" s="100" t="s">
        <v>424</v>
      </c>
      <c r="E24" s="7"/>
      <c r="F24" s="257" t="str">
        <f>IFERROR(IF(VLOOKUP($F$19,'Mail List'!$A:$M,6,FALSE)="","",VLOOKUP($F$19,'Mail List'!$A:$M,6,FALSE)),"")</f>
        <v/>
      </c>
    </row>
    <row r="25" spans="1:6">
      <c r="A25" s="14" t="s">
        <v>80</v>
      </c>
      <c r="B25" s="89"/>
      <c r="D25" s="150" t="s">
        <v>405</v>
      </c>
      <c r="F25" s="257" t="str">
        <f>IFERROR(IF(VLOOKUP($F$19,'Mail List'!$A:$M,7,FALSE)="","",VLOOKUP($F$19,'Mail List'!$A:$M,7,FALSE)),"")</f>
        <v/>
      </c>
    </row>
    <row r="26" spans="1:6" ht="13.5" thickBot="1">
      <c r="A26" s="15" t="s">
        <v>378</v>
      </c>
      <c r="B26" s="92"/>
      <c r="D26" s="101" t="s">
        <v>425</v>
      </c>
      <c r="F26" s="257" t="str">
        <f>IFERROR(IF(VLOOKUP($F$19,'Mail List'!$A:$M,8,FALSE)="","",VLOOKUP($F$19,'Mail List'!$A:$M,8,FALSE)),"")</f>
        <v/>
      </c>
    </row>
    <row r="27" spans="1:6" ht="13.5" thickBot="1">
      <c r="F27" s="257" t="str">
        <f>IFERROR(IF(VLOOKUP($F$19,'Mail List'!$A:$M,9,FALSE)="","",VLOOKUP($F$19,'Mail List'!$A:$M,9,FALSE)),"")</f>
        <v/>
      </c>
    </row>
    <row r="28" spans="1:6" ht="15.75">
      <c r="A28" s="385" t="s">
        <v>59</v>
      </c>
      <c r="B28" s="386"/>
      <c r="C28" s="386"/>
      <c r="D28" s="387"/>
      <c r="F28" s="257" t="str">
        <f>IFERROR(IF(VLOOKUP($F$19,'Mail List'!$A:$M,10,FALSE)="","",VLOOKUP($F$19,'Mail List'!$A:$M,10,FALSE)),"")</f>
        <v/>
      </c>
    </row>
    <row r="29" spans="1:6" ht="12.75" customHeight="1">
      <c r="A29" s="30"/>
      <c r="B29" s="25"/>
      <c r="C29" s="25"/>
      <c r="D29" s="24"/>
      <c r="F29" s="257" t="str">
        <f>IFERROR(IF(VLOOKUP($F$19,'Mail List'!$A:$M,11,FALSE)="","",VLOOKUP($F$19,'Mail List'!$A:$M,11,FALSE)),"")</f>
        <v/>
      </c>
    </row>
    <row r="30" spans="1:6">
      <c r="A30" s="30"/>
      <c r="B30" s="25"/>
      <c r="C30" s="25"/>
      <c r="D30" s="24"/>
      <c r="F30" s="257" t="str">
        <f>IFERROR(IF(VLOOKUP($F$19,'Mail List'!$A:$M,12,FALSE)="","",VLOOKUP($F$19,'Mail List'!$A:$M,12,FALSE)),"")</f>
        <v/>
      </c>
    </row>
    <row r="31" spans="1:6" ht="13.5" thickBot="1">
      <c r="A31" s="30"/>
      <c r="B31" s="25"/>
      <c r="C31" s="25"/>
      <c r="D31" s="24"/>
      <c r="F31" s="259" t="str">
        <f>IFERROR(IF(VLOOKUP($F$19,'Mail List'!$A:$M,13,FALSE)="","",VLOOKUP($F$19,'Mail List'!$A:$M,13,FALSE)),"")</f>
        <v/>
      </c>
    </row>
    <row r="32" spans="1:6">
      <c r="A32" s="30"/>
      <c r="B32" s="25"/>
      <c r="C32" s="25"/>
      <c r="D32" s="24"/>
      <c r="F32" s="256"/>
    </row>
    <row r="33" spans="1:6">
      <c r="A33" s="30"/>
      <c r="B33" s="25"/>
      <c r="C33" s="25"/>
      <c r="D33" s="24"/>
    </row>
    <row r="34" spans="1:6">
      <c r="A34" s="30"/>
      <c r="B34" s="309" t="s">
        <v>248</v>
      </c>
      <c r="C34" s="310" t="s">
        <v>247</v>
      </c>
      <c r="D34" s="24"/>
    </row>
    <row r="35" spans="1:6">
      <c r="A35" s="105" t="s">
        <v>163</v>
      </c>
      <c r="B35" s="309" t="s">
        <v>365</v>
      </c>
      <c r="C35" s="310" t="s">
        <v>125</v>
      </c>
      <c r="D35" s="24"/>
    </row>
    <row r="36" spans="1:6">
      <c r="A36" s="113" t="s">
        <v>246</v>
      </c>
      <c r="B36" s="99"/>
      <c r="C36" s="25"/>
      <c r="D36" s="24"/>
    </row>
    <row r="37" spans="1:6">
      <c r="A37" s="105" t="s">
        <v>161</v>
      </c>
      <c r="B37" s="25"/>
      <c r="C37" s="25"/>
      <c r="D37" s="24"/>
    </row>
    <row r="38" spans="1:6" ht="13.5" thickBot="1">
      <c r="A38" s="182" t="s">
        <v>699</v>
      </c>
      <c r="B38" s="48" t="s">
        <v>700</v>
      </c>
      <c r="C38" s="48"/>
      <c r="D38" s="45"/>
    </row>
    <row r="39" spans="1:6">
      <c r="A39" s="2"/>
      <c r="B39" s="2"/>
      <c r="C39" s="2"/>
      <c r="D39" s="2"/>
    </row>
    <row r="40" spans="1:6" ht="13.5" hidden="1" thickBot="1">
      <c r="A40" s="158" t="s">
        <v>107</v>
      </c>
      <c r="B40" s="159"/>
      <c r="C40" s="159"/>
      <c r="D40" s="160" t="s">
        <v>89</v>
      </c>
      <c r="E40" s="161" t="s">
        <v>91</v>
      </c>
    </row>
    <row r="41" spans="1:6" hidden="1">
      <c r="A41" s="154" t="s">
        <v>88</v>
      </c>
      <c r="B41" s="155"/>
      <c r="C41" s="155"/>
      <c r="D41" s="156">
        <v>39752</v>
      </c>
      <c r="E41" s="157" t="s">
        <v>36</v>
      </c>
    </row>
    <row r="42" spans="1:6" hidden="1">
      <c r="A42" s="134" t="s">
        <v>108</v>
      </c>
      <c r="B42" s="135"/>
      <c r="C42" s="135"/>
      <c r="D42" s="136">
        <v>39766</v>
      </c>
      <c r="E42" s="137" t="s">
        <v>44</v>
      </c>
    </row>
    <row r="43" spans="1:6" hidden="1">
      <c r="A43" s="134" t="s">
        <v>112</v>
      </c>
      <c r="B43" s="135"/>
      <c r="C43" s="135"/>
      <c r="D43" s="136">
        <v>39771</v>
      </c>
      <c r="E43" s="137" t="s">
        <v>34</v>
      </c>
    </row>
    <row r="44" spans="1:6" hidden="1">
      <c r="A44" s="134" t="s">
        <v>114</v>
      </c>
      <c r="B44" s="135"/>
      <c r="C44" s="135"/>
      <c r="D44" s="136">
        <v>39772</v>
      </c>
      <c r="E44" s="137" t="s">
        <v>53</v>
      </c>
      <c r="F44" s="5"/>
    </row>
    <row r="45" spans="1:6" hidden="1">
      <c r="A45" s="134" t="s">
        <v>118</v>
      </c>
      <c r="B45" s="135"/>
      <c r="C45" s="135"/>
      <c r="D45" s="136">
        <v>39791</v>
      </c>
      <c r="E45" s="137" t="s">
        <v>85</v>
      </c>
      <c r="F45" s="5"/>
    </row>
    <row r="46" spans="1:6" hidden="1">
      <c r="A46" s="134" t="s">
        <v>127</v>
      </c>
      <c r="B46" s="135"/>
      <c r="C46" s="135"/>
      <c r="D46" s="136">
        <v>39793</v>
      </c>
      <c r="E46" s="137" t="s">
        <v>83</v>
      </c>
      <c r="F46" s="5"/>
    </row>
    <row r="47" spans="1:6" hidden="1">
      <c r="A47" s="134" t="s">
        <v>257</v>
      </c>
      <c r="B47" s="135"/>
      <c r="C47" s="135"/>
      <c r="D47" s="136">
        <v>40153</v>
      </c>
      <c r="E47" s="137" t="s">
        <v>45</v>
      </c>
      <c r="F47" s="5"/>
    </row>
    <row r="48" spans="1:6" hidden="1">
      <c r="A48" s="134" t="s">
        <v>165</v>
      </c>
      <c r="B48" s="135"/>
      <c r="C48" s="135"/>
      <c r="D48" s="136">
        <v>39836</v>
      </c>
      <c r="E48" s="137" t="s">
        <v>41</v>
      </c>
      <c r="F48" s="5"/>
    </row>
    <row r="49" spans="1:6" hidden="1">
      <c r="A49" s="134" t="s">
        <v>258</v>
      </c>
      <c r="B49" s="135"/>
      <c r="C49" s="135"/>
      <c r="D49" s="136">
        <v>39857</v>
      </c>
      <c r="E49" s="137" t="s">
        <v>37</v>
      </c>
      <c r="F49" s="5"/>
    </row>
    <row r="50" spans="1:6" hidden="1">
      <c r="A50" s="134" t="s">
        <v>215</v>
      </c>
      <c r="B50" s="135"/>
      <c r="C50" s="135"/>
      <c r="D50" s="136">
        <v>39884</v>
      </c>
      <c r="E50" s="137" t="s">
        <v>46</v>
      </c>
      <c r="F50" s="5"/>
    </row>
    <row r="51" spans="1:6" hidden="1">
      <c r="A51" s="134" t="s">
        <v>259</v>
      </c>
      <c r="B51" s="135"/>
      <c r="C51" s="135"/>
      <c r="D51" s="136">
        <v>39913</v>
      </c>
      <c r="E51" s="137" t="s">
        <v>38</v>
      </c>
      <c r="F51" s="2"/>
    </row>
    <row r="52" spans="1:6" hidden="1">
      <c r="A52" s="134" t="s">
        <v>260</v>
      </c>
      <c r="B52" s="135"/>
      <c r="C52" s="135"/>
      <c r="D52" s="136">
        <v>39920</v>
      </c>
      <c r="E52" s="137" t="s">
        <v>47</v>
      </c>
      <c r="F52" s="2"/>
    </row>
    <row r="53" spans="1:6" hidden="1">
      <c r="A53" s="134" t="s">
        <v>240</v>
      </c>
      <c r="B53" s="135"/>
      <c r="C53" s="135"/>
      <c r="D53" s="136">
        <v>39927</v>
      </c>
      <c r="E53" s="137" t="s">
        <v>48</v>
      </c>
      <c r="F53" s="2"/>
    </row>
    <row r="54" spans="1:6" hidden="1">
      <c r="A54" s="134" t="s">
        <v>249</v>
      </c>
      <c r="B54" s="135"/>
      <c r="C54" s="135"/>
      <c r="D54" s="136">
        <v>43586</v>
      </c>
      <c r="E54" s="137" t="s">
        <v>49</v>
      </c>
      <c r="F54" s="2"/>
    </row>
    <row r="55" spans="1:6" hidden="1">
      <c r="A55" s="134" t="s">
        <v>265</v>
      </c>
      <c r="B55" s="135"/>
      <c r="C55" s="135"/>
      <c r="D55" s="136">
        <v>39943</v>
      </c>
      <c r="E55" s="137" t="s">
        <v>50</v>
      </c>
      <c r="F55" s="2"/>
    </row>
    <row r="56" spans="1:6" hidden="1">
      <c r="A56" s="134" t="s">
        <v>369</v>
      </c>
      <c r="B56" s="135"/>
      <c r="C56" s="135"/>
      <c r="D56" s="138">
        <v>40093</v>
      </c>
      <c r="E56" s="139" t="s">
        <v>84</v>
      </c>
      <c r="F56" s="2"/>
    </row>
    <row r="57" spans="1:6" hidden="1">
      <c r="A57" s="134" t="s">
        <v>376</v>
      </c>
      <c r="B57" s="135"/>
      <c r="C57" s="135"/>
      <c r="D57" s="136">
        <v>40123</v>
      </c>
      <c r="E57" s="137" t="s">
        <v>40</v>
      </c>
    </row>
    <row r="58" spans="1:6" hidden="1">
      <c r="A58" s="140" t="s">
        <v>377</v>
      </c>
      <c r="B58" s="141"/>
      <c r="C58" s="142"/>
      <c r="D58" s="136">
        <v>40568</v>
      </c>
      <c r="E58" s="137" t="s">
        <v>281</v>
      </c>
    </row>
    <row r="59" spans="1:6" hidden="1">
      <c r="A59" s="140" t="s">
        <v>384</v>
      </c>
      <c r="B59" s="141"/>
      <c r="C59" s="142"/>
      <c r="D59" s="136">
        <v>40764</v>
      </c>
      <c r="E59" s="137" t="s">
        <v>51</v>
      </c>
    </row>
    <row r="60" spans="1:6" hidden="1">
      <c r="A60" s="140" t="s">
        <v>388</v>
      </c>
      <c r="B60" s="141"/>
      <c r="C60" s="142"/>
      <c r="D60" s="136">
        <v>40820</v>
      </c>
      <c r="E60" s="137" t="s">
        <v>52</v>
      </c>
    </row>
    <row r="61" spans="1:6" hidden="1">
      <c r="A61" s="140" t="s">
        <v>390</v>
      </c>
      <c r="B61" s="141"/>
      <c r="C61" s="142"/>
      <c r="D61" s="136">
        <v>40820</v>
      </c>
      <c r="E61" s="137" t="s">
        <v>389</v>
      </c>
    </row>
    <row r="62" spans="1:6" hidden="1">
      <c r="A62" s="140" t="s">
        <v>391</v>
      </c>
      <c r="B62" s="141"/>
      <c r="C62" s="142"/>
      <c r="D62" s="136">
        <v>40875</v>
      </c>
      <c r="E62" s="137">
        <v>2.1</v>
      </c>
    </row>
    <row r="63" spans="1:6" hidden="1">
      <c r="A63" s="151" t="s">
        <v>392</v>
      </c>
      <c r="B63" s="152"/>
      <c r="C63" s="152"/>
      <c r="D63" s="136">
        <v>40914</v>
      </c>
      <c r="E63" s="153">
        <v>2.2000000000000002</v>
      </c>
    </row>
    <row r="64" spans="1:6" ht="13.5" hidden="1" thickBot="1">
      <c r="A64" s="143" t="s">
        <v>429</v>
      </c>
      <c r="B64" s="144"/>
      <c r="C64" s="144"/>
      <c r="D64" s="145">
        <v>41073</v>
      </c>
      <c r="E64" s="146">
        <v>2.2999999999999998</v>
      </c>
    </row>
    <row r="65" spans="1:1">
      <c r="A65" s="164" t="s">
        <v>430</v>
      </c>
    </row>
    <row r="66" spans="1:1">
      <c r="A66" s="165" t="s">
        <v>431</v>
      </c>
    </row>
    <row r="67" spans="1:1">
      <c r="A67" s="166" t="s">
        <v>432</v>
      </c>
    </row>
    <row r="68" spans="1:1">
      <c r="A68" s="176" t="s">
        <v>449</v>
      </c>
    </row>
  </sheetData>
  <sheetProtection sheet="1" objects="1" scenarios="1" insertHyperlinks="0" selectLockedCells="1"/>
  <mergeCells count="2">
    <mergeCell ref="A28:D28"/>
    <mergeCell ref="B20:D20"/>
  </mergeCells>
  <phoneticPr fontId="10" type="noConversion"/>
  <dataValidations count="2">
    <dataValidation type="list" allowBlank="1" showInputMessage="1" showErrorMessage="1" sqref="B15 F8:F15 D12:D15">
      <formula1>Email_Addesses</formula1>
    </dataValidation>
    <dataValidation type="list" allowBlank="1" showInputMessage="1" showErrorMessage="1" sqref="C34:C35">
      <formula1>YES_NO</formula1>
    </dataValidation>
  </dataValidations>
  <hyperlinks>
    <hyperlink ref="B21" r:id="rId1"/>
    <hyperlink ref="B22" r:id="rId2"/>
    <hyperlink ref="D25" r:id="rId3"/>
    <hyperlink ref="A36" r:id="rId4" display="Check List"/>
    <hyperlink ref="A37" r:id="rId5"/>
    <hyperlink ref="A35" r:id="rId6"/>
    <hyperlink ref="D16" r:id="rId7"/>
  </hyperlinks>
  <pageMargins left="0" right="0" top="0" bottom="0" header="0" footer="0"/>
  <pageSetup orientation="landscape" verticalDpi="300" r:id="rId8"/>
  <headerFooter alignWithMargins="0"/>
  <legacyDrawing r:id="rId9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X82"/>
  <sheetViews>
    <sheetView workbookViewId="0">
      <selection activeCell="A25" sqref="A25"/>
    </sheetView>
  </sheetViews>
  <sheetFormatPr defaultRowHeight="12.75"/>
  <cols>
    <col min="1" max="1" width="35.85546875" style="103" bestFit="1" customWidth="1"/>
    <col min="2" max="2" width="11" style="103" bestFit="1" customWidth="1"/>
    <col min="3" max="3" width="45.28515625" style="103" bestFit="1" customWidth="1"/>
    <col min="4" max="4" width="34.7109375" style="103" bestFit="1" customWidth="1"/>
    <col min="5" max="5" width="11.5703125" style="103" bestFit="1" customWidth="1"/>
    <col min="6" max="6" width="29.7109375" style="103" bestFit="1" customWidth="1"/>
    <col min="7" max="7" width="29.28515625" style="103" bestFit="1" customWidth="1"/>
    <col min="8" max="8" width="23.7109375" style="103" bestFit="1" customWidth="1"/>
    <col min="9" max="9" width="21.5703125" style="103" bestFit="1" customWidth="1"/>
    <col min="10" max="10" width="38.42578125" style="103" bestFit="1" customWidth="1"/>
    <col min="11" max="11" width="14.28515625" style="103" customWidth="1"/>
    <col min="12" max="12" width="10" style="103" bestFit="1" customWidth="1"/>
    <col min="13" max="13" width="24.42578125" style="103" bestFit="1" customWidth="1"/>
    <col min="14" max="14" width="9.28515625" style="103" bestFit="1" customWidth="1"/>
    <col min="15" max="15" width="27.140625" style="103" bestFit="1" customWidth="1"/>
    <col min="16" max="16" width="7.85546875" customWidth="1"/>
    <col min="17" max="17" width="12.140625" style="126" bestFit="1" customWidth="1"/>
    <col min="18" max="18" width="14.28515625" style="126" bestFit="1" customWidth="1"/>
    <col min="19" max="19" width="9.28515625" style="103" bestFit="1" customWidth="1"/>
    <col min="20" max="20" width="30.28515625" style="103" bestFit="1" customWidth="1"/>
    <col min="21" max="21" width="5.42578125" style="103" bestFit="1" customWidth="1"/>
    <col min="22" max="16384" width="9.140625" style="103"/>
  </cols>
  <sheetData>
    <row r="1" spans="1:21" s="116" customFormat="1" ht="27.75" customHeight="1" thickBot="1">
      <c r="A1" s="19" t="s">
        <v>28</v>
      </c>
      <c r="B1" s="19" t="s">
        <v>29</v>
      </c>
      <c r="C1" s="19" t="s">
        <v>366</v>
      </c>
      <c r="D1" s="19" t="s">
        <v>299</v>
      </c>
      <c r="E1" s="19" t="s">
        <v>300</v>
      </c>
      <c r="F1" s="19" t="s">
        <v>42</v>
      </c>
      <c r="G1" s="19" t="s">
        <v>301</v>
      </c>
      <c r="H1" s="19" t="s">
        <v>302</v>
      </c>
      <c r="I1" s="19" t="s">
        <v>56</v>
      </c>
      <c r="J1" s="19" t="s">
        <v>60</v>
      </c>
      <c r="K1" s="19" t="s">
        <v>61</v>
      </c>
      <c r="L1" s="19" t="s">
        <v>62</v>
      </c>
      <c r="M1" s="19" t="s">
        <v>324</v>
      </c>
      <c r="N1" s="19" t="s">
        <v>325</v>
      </c>
      <c r="O1" s="19" t="s">
        <v>326</v>
      </c>
      <c r="P1"/>
      <c r="Q1" s="19" t="s">
        <v>382</v>
      </c>
      <c r="R1" s="19" t="s">
        <v>280</v>
      </c>
      <c r="S1" s="19" t="s">
        <v>327</v>
      </c>
      <c r="T1" s="19" t="s">
        <v>328</v>
      </c>
      <c r="U1" s="19" t="s">
        <v>331</v>
      </c>
    </row>
    <row r="2" spans="1:21">
      <c r="A2" s="117"/>
      <c r="B2" s="118"/>
      <c r="C2" s="90"/>
      <c r="D2" s="90"/>
      <c r="E2" s="118"/>
      <c r="F2" s="321" t="s">
        <v>674</v>
      </c>
      <c r="G2" s="314"/>
      <c r="H2" s="118"/>
      <c r="I2" s="90"/>
      <c r="J2" s="118"/>
      <c r="K2" s="314"/>
      <c r="L2" s="118"/>
      <c r="M2" s="90"/>
      <c r="N2" s="118"/>
      <c r="O2" s="118"/>
      <c r="Q2" s="118"/>
      <c r="R2" s="118"/>
      <c r="S2" s="118"/>
      <c r="T2" s="118"/>
      <c r="U2" s="119" t="s">
        <v>247</v>
      </c>
    </row>
    <row r="3" spans="1:21" ht="13.5" thickBot="1">
      <c r="A3" s="16" t="s">
        <v>610</v>
      </c>
      <c r="B3" s="17" t="s">
        <v>223</v>
      </c>
      <c r="C3" s="263" t="s">
        <v>612</v>
      </c>
      <c r="D3" s="17" t="s">
        <v>451</v>
      </c>
      <c r="E3" s="18"/>
      <c r="F3" s="318"/>
      <c r="G3" s="103" t="s">
        <v>515</v>
      </c>
      <c r="H3" s="18" t="s">
        <v>311</v>
      </c>
      <c r="I3" s="17" t="s">
        <v>320</v>
      </c>
      <c r="J3" s="318" t="s">
        <v>675</v>
      </c>
      <c r="K3" s="313" t="s">
        <v>564</v>
      </c>
      <c r="L3" s="18" t="s">
        <v>63</v>
      </c>
      <c r="M3" s="17" t="s">
        <v>323</v>
      </c>
      <c r="N3" s="180" t="s">
        <v>579</v>
      </c>
      <c r="O3" s="18" t="s">
        <v>358</v>
      </c>
      <c r="Q3" s="180"/>
      <c r="R3" s="18" t="s">
        <v>36</v>
      </c>
      <c r="S3" s="18" t="s">
        <v>241</v>
      </c>
      <c r="T3" s="132"/>
      <c r="U3" s="124" t="s">
        <v>125</v>
      </c>
    </row>
    <row r="4" spans="1:21">
      <c r="A4" s="16" t="s">
        <v>611</v>
      </c>
      <c r="B4" s="103" t="s">
        <v>5</v>
      </c>
      <c r="C4" s="17" t="s">
        <v>486</v>
      </c>
      <c r="D4" s="17" t="s">
        <v>452</v>
      </c>
      <c r="E4" s="180" t="s">
        <v>36</v>
      </c>
      <c r="F4" s="320" t="s">
        <v>705</v>
      </c>
      <c r="G4" s="103" t="s">
        <v>535</v>
      </c>
      <c r="H4" s="16" t="s">
        <v>367</v>
      </c>
      <c r="I4" s="181" t="s">
        <v>308</v>
      </c>
      <c r="J4" s="318" t="s">
        <v>676</v>
      </c>
      <c r="K4" s="313" t="s">
        <v>563</v>
      </c>
      <c r="L4" s="18" t="s">
        <v>123</v>
      </c>
      <c r="M4" s="17" t="s">
        <v>67</v>
      </c>
      <c r="N4" s="18" t="s">
        <v>63</v>
      </c>
      <c r="O4" s="180" t="s">
        <v>568</v>
      </c>
      <c r="Q4" s="180" t="s">
        <v>279</v>
      </c>
      <c r="R4" s="129" t="s">
        <v>43</v>
      </c>
      <c r="S4" s="103" t="s">
        <v>242</v>
      </c>
      <c r="T4" s="132" t="s">
        <v>703</v>
      </c>
    </row>
    <row r="5" spans="1:21">
      <c r="A5" s="16" t="s">
        <v>368</v>
      </c>
      <c r="B5" s="103" t="s">
        <v>6</v>
      </c>
      <c r="C5" s="263" t="s">
        <v>613</v>
      </c>
      <c r="D5" s="17" t="s">
        <v>453</v>
      </c>
      <c r="E5" s="18" t="s">
        <v>43</v>
      </c>
      <c r="F5" s="318" t="s">
        <v>629</v>
      </c>
      <c r="G5" s="103" t="s">
        <v>536</v>
      </c>
      <c r="H5" s="16" t="s">
        <v>309</v>
      </c>
      <c r="I5" s="17" t="s">
        <v>322</v>
      </c>
      <c r="J5" s="318" t="s">
        <v>677</v>
      </c>
      <c r="K5" s="313" t="s">
        <v>565</v>
      </c>
      <c r="L5" s="18" t="s">
        <v>64</v>
      </c>
      <c r="M5" s="103" t="s">
        <v>446</v>
      </c>
      <c r="N5" s="18" t="s">
        <v>123</v>
      </c>
      <c r="O5" s="18" t="s">
        <v>329</v>
      </c>
      <c r="Q5" s="180" t="s">
        <v>589</v>
      </c>
      <c r="R5" s="129" t="s">
        <v>220</v>
      </c>
      <c r="S5" s="127" t="s">
        <v>243</v>
      </c>
      <c r="T5" s="120" t="s">
        <v>408</v>
      </c>
    </row>
    <row r="6" spans="1:21">
      <c r="A6" s="16" t="s">
        <v>314</v>
      </c>
      <c r="B6" s="103" t="s">
        <v>7</v>
      </c>
      <c r="C6" s="263" t="s">
        <v>614</v>
      </c>
      <c r="D6" s="17" t="s">
        <v>454</v>
      </c>
      <c r="E6" s="18" t="s">
        <v>220</v>
      </c>
      <c r="F6" s="320" t="s">
        <v>654</v>
      </c>
      <c r="G6" s="103" t="s">
        <v>537</v>
      </c>
      <c r="H6" s="16" t="s">
        <v>310</v>
      </c>
      <c r="I6" s="17" t="s">
        <v>307</v>
      </c>
      <c r="J6" s="318" t="s">
        <v>678</v>
      </c>
      <c r="K6" s="313" t="s">
        <v>566</v>
      </c>
      <c r="L6" s="18" t="s">
        <v>124</v>
      </c>
      <c r="M6" s="103" t="s">
        <v>447</v>
      </c>
      <c r="N6" s="18" t="s">
        <v>64</v>
      </c>
      <c r="O6" s="180" t="s">
        <v>596</v>
      </c>
      <c r="Q6" s="180" t="s">
        <v>591</v>
      </c>
      <c r="R6" s="129" t="s">
        <v>44</v>
      </c>
      <c r="S6" s="103" t="s">
        <v>244</v>
      </c>
      <c r="T6" s="120" t="s">
        <v>409</v>
      </c>
    </row>
    <row r="7" spans="1:21" ht="13.5" thickBot="1">
      <c r="A7" s="16" t="s">
        <v>315</v>
      </c>
      <c r="B7" s="103" t="s">
        <v>8</v>
      </c>
      <c r="C7" s="263" t="s">
        <v>615</v>
      </c>
      <c r="D7" s="17" t="s">
        <v>455</v>
      </c>
      <c r="E7" s="18" t="s">
        <v>221</v>
      </c>
      <c r="F7" s="318" t="s">
        <v>631</v>
      </c>
      <c r="G7" s="103" t="s">
        <v>538</v>
      </c>
      <c r="H7" s="16" t="s">
        <v>3</v>
      </c>
      <c r="I7" s="269" t="s">
        <v>321</v>
      </c>
      <c r="J7" s="318" t="s">
        <v>679</v>
      </c>
      <c r="K7" s="103" t="s">
        <v>125</v>
      </c>
      <c r="L7" s="180" t="s">
        <v>579</v>
      </c>
      <c r="M7" s="112"/>
      <c r="N7" s="18" t="s">
        <v>124</v>
      </c>
      <c r="O7" s="18" t="s">
        <v>359</v>
      </c>
      <c r="Q7" s="180" t="s">
        <v>276</v>
      </c>
      <c r="R7" s="129" t="s">
        <v>34</v>
      </c>
      <c r="S7" s="103" t="s">
        <v>245</v>
      </c>
      <c r="T7" s="120" t="s">
        <v>410</v>
      </c>
    </row>
    <row r="8" spans="1:21">
      <c r="A8" s="16" t="s">
        <v>316</v>
      </c>
      <c r="B8" s="103" t="s">
        <v>9</v>
      </c>
      <c r="C8" s="17"/>
      <c r="D8" s="17" t="s">
        <v>456</v>
      </c>
      <c r="E8" s="18" t="s">
        <v>222</v>
      </c>
      <c r="F8" s="318" t="s">
        <v>632</v>
      </c>
      <c r="G8" s="103" t="s">
        <v>539</v>
      </c>
      <c r="H8" s="133" t="s">
        <v>434</v>
      </c>
      <c r="I8" s="267" t="s">
        <v>519</v>
      </c>
      <c r="J8" s="318" t="s">
        <v>680</v>
      </c>
      <c r="K8" s="313" t="s">
        <v>126</v>
      </c>
      <c r="L8" s="180" t="s">
        <v>620</v>
      </c>
      <c r="M8" s="133" t="s">
        <v>562</v>
      </c>
      <c r="N8" s="264" t="s">
        <v>578</v>
      </c>
      <c r="O8" s="18" t="s">
        <v>360</v>
      </c>
      <c r="Q8" s="180" t="s">
        <v>560</v>
      </c>
      <c r="R8" s="129" t="s">
        <v>297</v>
      </c>
      <c r="S8" s="103" t="s">
        <v>298</v>
      </c>
      <c r="T8" s="132" t="s">
        <v>411</v>
      </c>
    </row>
    <row r="9" spans="1:21" ht="15">
      <c r="A9" s="16" t="s">
        <v>317</v>
      </c>
      <c r="B9" s="103" t="s">
        <v>485</v>
      </c>
      <c r="C9" s="17"/>
      <c r="D9" s="17" t="s">
        <v>457</v>
      </c>
      <c r="E9" s="18" t="s">
        <v>44</v>
      </c>
      <c r="F9" s="318" t="s">
        <v>633</v>
      </c>
      <c r="G9" s="253" t="s">
        <v>506</v>
      </c>
      <c r="H9" s="260" t="s">
        <v>435</v>
      </c>
      <c r="I9" s="263" t="s">
        <v>520</v>
      </c>
      <c r="J9" s="318" t="s">
        <v>681</v>
      </c>
      <c r="K9" s="313" t="s">
        <v>64</v>
      </c>
      <c r="L9" s="180" t="s">
        <v>623</v>
      </c>
      <c r="M9" s="18"/>
      <c r="N9" s="121"/>
      <c r="O9" s="18" t="s">
        <v>361</v>
      </c>
      <c r="Q9" s="180" t="s">
        <v>592</v>
      </c>
      <c r="R9" s="129" t="s">
        <v>296</v>
      </c>
      <c r="T9" s="120" t="s">
        <v>412</v>
      </c>
    </row>
    <row r="10" spans="1:21" ht="15">
      <c r="A10" s="16" t="s">
        <v>318</v>
      </c>
      <c r="B10" s="103" t="s">
        <v>10</v>
      </c>
      <c r="C10" s="17"/>
      <c r="D10" s="17" t="s">
        <v>458</v>
      </c>
      <c r="E10" s="18" t="s">
        <v>34</v>
      </c>
      <c r="F10" s="318" t="s">
        <v>634</v>
      </c>
      <c r="G10" s="253" t="s">
        <v>505</v>
      </c>
      <c r="H10" s="260" t="s">
        <v>436</v>
      </c>
      <c r="I10" s="263" t="s">
        <v>521</v>
      </c>
      <c r="J10" s="318" t="s">
        <v>682</v>
      </c>
      <c r="K10" s="313" t="s">
        <v>124</v>
      </c>
      <c r="L10" s="180" t="s">
        <v>624</v>
      </c>
      <c r="M10" s="180" t="s">
        <v>604</v>
      </c>
      <c r="N10" s="121"/>
      <c r="O10" s="18" t="s">
        <v>362</v>
      </c>
      <c r="Q10" s="180" t="s">
        <v>587</v>
      </c>
      <c r="R10" s="129" t="s">
        <v>295</v>
      </c>
      <c r="T10" s="120" t="s">
        <v>559</v>
      </c>
    </row>
    <row r="11" spans="1:21" ht="15.75" thickBot="1">
      <c r="A11" s="16" t="s">
        <v>319</v>
      </c>
      <c r="C11" s="17"/>
      <c r="D11" s="17" t="s">
        <v>459</v>
      </c>
      <c r="E11" s="18" t="s">
        <v>85</v>
      </c>
      <c r="F11" s="320" t="s">
        <v>635</v>
      </c>
      <c r="G11" s="253" t="s">
        <v>507</v>
      </c>
      <c r="H11" s="260" t="s">
        <v>437</v>
      </c>
      <c r="I11" s="266" t="s">
        <v>522</v>
      </c>
      <c r="J11" s="318" t="s">
        <v>683</v>
      </c>
      <c r="K11" s="313" t="s">
        <v>126</v>
      </c>
      <c r="L11" s="180" t="s">
        <v>625</v>
      </c>
      <c r="M11" s="180" t="s">
        <v>605</v>
      </c>
      <c r="N11" s="124"/>
      <c r="O11" s="122"/>
      <c r="Q11" s="180" t="s">
        <v>588</v>
      </c>
      <c r="R11" s="129" t="s">
        <v>294</v>
      </c>
      <c r="T11" s="120" t="s">
        <v>393</v>
      </c>
    </row>
    <row r="12" spans="1:21" ht="15.75" thickBot="1">
      <c r="A12" s="16" t="s">
        <v>379</v>
      </c>
      <c r="C12" s="125"/>
      <c r="D12" s="17" t="s">
        <v>460</v>
      </c>
      <c r="E12" s="18" t="s">
        <v>83</v>
      </c>
      <c r="F12" s="320" t="s">
        <v>655</v>
      </c>
      <c r="G12" s="253" t="s">
        <v>508</v>
      </c>
      <c r="H12" s="260" t="s">
        <v>438</v>
      </c>
      <c r="I12" s="267" t="s">
        <v>523</v>
      </c>
      <c r="J12" s="318" t="s">
        <v>684</v>
      </c>
      <c r="K12" s="313"/>
      <c r="L12" s="180" t="s">
        <v>626</v>
      </c>
      <c r="M12" s="180" t="s">
        <v>606</v>
      </c>
      <c r="Q12" s="180" t="s">
        <v>586</v>
      </c>
      <c r="R12" s="129" t="s">
        <v>293</v>
      </c>
      <c r="T12" s="120" t="s">
        <v>413</v>
      </c>
    </row>
    <row r="13" spans="1:21" ht="15.75" thickBot="1">
      <c r="A13" s="16" t="s">
        <v>380</v>
      </c>
      <c r="C13" s="267" t="s">
        <v>386</v>
      </c>
      <c r="D13" s="17" t="s">
        <v>461</v>
      </c>
      <c r="E13" s="18" t="s">
        <v>41</v>
      </c>
      <c r="F13" s="320" t="s">
        <v>656</v>
      </c>
      <c r="G13" s="253" t="s">
        <v>509</v>
      </c>
      <c r="H13" s="260" t="s">
        <v>439</v>
      </c>
      <c r="J13" s="318" t="s">
        <v>685</v>
      </c>
      <c r="K13" s="112"/>
      <c r="L13" s="180" t="s">
        <v>627</v>
      </c>
      <c r="M13" s="122"/>
      <c r="Q13" s="180" t="s">
        <v>597</v>
      </c>
      <c r="R13" s="129" t="s">
        <v>293</v>
      </c>
      <c r="T13" s="120" t="s">
        <v>394</v>
      </c>
    </row>
    <row r="14" spans="1:21" ht="15">
      <c r="A14" s="16" t="s">
        <v>381</v>
      </c>
      <c r="C14" s="17"/>
      <c r="D14" s="17" t="s">
        <v>462</v>
      </c>
      <c r="E14" s="18" t="s">
        <v>37</v>
      </c>
      <c r="F14" s="320" t="s">
        <v>657</v>
      </c>
      <c r="G14" s="253" t="s">
        <v>510</v>
      </c>
      <c r="H14" s="260" t="s">
        <v>440</v>
      </c>
      <c r="I14" s="263"/>
      <c r="J14" s="318" t="s">
        <v>686</v>
      </c>
      <c r="L14" s="180" t="s">
        <v>628</v>
      </c>
      <c r="Q14" s="180" t="s">
        <v>594</v>
      </c>
      <c r="R14" s="129" t="s">
        <v>85</v>
      </c>
      <c r="T14" s="120" t="s">
        <v>395</v>
      </c>
    </row>
    <row r="15" spans="1:21" ht="15.75" thickBot="1">
      <c r="A15" s="16" t="s">
        <v>706</v>
      </c>
      <c r="C15" s="17" t="s">
        <v>426</v>
      </c>
      <c r="D15" s="17" t="s">
        <v>463</v>
      </c>
      <c r="E15" s="18" t="s">
        <v>46</v>
      </c>
      <c r="F15" s="320" t="s">
        <v>658</v>
      </c>
      <c r="G15" s="253" t="s">
        <v>501</v>
      </c>
      <c r="H15" s="260" t="s">
        <v>441</v>
      </c>
      <c r="I15" s="263" t="s">
        <v>570</v>
      </c>
      <c r="J15" s="318" t="s">
        <v>686</v>
      </c>
      <c r="L15" s="18" t="s">
        <v>305</v>
      </c>
      <c r="Q15" s="180" t="s">
        <v>373</v>
      </c>
      <c r="R15" s="129" t="s">
        <v>83</v>
      </c>
      <c r="T15" s="123" t="s">
        <v>414</v>
      </c>
    </row>
    <row r="16" spans="1:21" ht="15">
      <c r="A16" s="16" t="s">
        <v>312</v>
      </c>
      <c r="B16" s="133" t="s">
        <v>332</v>
      </c>
      <c r="C16" s="17" t="s">
        <v>427</v>
      </c>
      <c r="D16" s="17" t="s">
        <v>464</v>
      </c>
      <c r="E16" s="18" t="s">
        <v>38</v>
      </c>
      <c r="F16" s="320" t="s">
        <v>638</v>
      </c>
      <c r="G16" s="253" t="s">
        <v>502</v>
      </c>
      <c r="H16" s="260" t="s">
        <v>442</v>
      </c>
      <c r="I16" s="263" t="s">
        <v>524</v>
      </c>
      <c r="J16" s="318" t="s">
        <v>687</v>
      </c>
      <c r="L16" s="18" t="s">
        <v>306</v>
      </c>
      <c r="Q16" s="180" t="s">
        <v>590</v>
      </c>
      <c r="R16" s="129" t="s">
        <v>45</v>
      </c>
      <c r="T16" s="120" t="s">
        <v>396</v>
      </c>
    </row>
    <row r="17" spans="1:24" ht="15.75" thickBot="1">
      <c r="A17" s="181" t="s">
        <v>576</v>
      </c>
      <c r="B17" s="18"/>
      <c r="C17" s="263" t="s">
        <v>428</v>
      </c>
      <c r="D17" s="17" t="s">
        <v>465</v>
      </c>
      <c r="E17" s="18" t="s">
        <v>47</v>
      </c>
      <c r="F17" s="318" t="s">
        <v>639</v>
      </c>
      <c r="G17" s="253" t="s">
        <v>503</v>
      </c>
      <c r="H17" s="260" t="s">
        <v>443</v>
      </c>
      <c r="I17" s="263" t="s">
        <v>525</v>
      </c>
      <c r="J17" s="318" t="s">
        <v>688</v>
      </c>
      <c r="L17" s="122"/>
      <c r="Q17" s="129" t="s">
        <v>267</v>
      </c>
      <c r="R17" s="129" t="s">
        <v>41</v>
      </c>
      <c r="T17" s="120" t="s">
        <v>415</v>
      </c>
    </row>
    <row r="18" spans="1:24" ht="15">
      <c r="A18" s="181" t="s">
        <v>313</v>
      </c>
      <c r="B18" s="18" t="s">
        <v>226</v>
      </c>
      <c r="C18" s="263" t="s">
        <v>18</v>
      </c>
      <c r="D18" s="17" t="s">
        <v>466</v>
      </c>
      <c r="E18" s="18" t="s">
        <v>48</v>
      </c>
      <c r="F18" s="318" t="s">
        <v>640</v>
      </c>
      <c r="G18" s="253" t="s">
        <v>504</v>
      </c>
      <c r="H18" s="260" t="s">
        <v>444</v>
      </c>
      <c r="I18" s="263" t="s">
        <v>569</v>
      </c>
      <c r="J18" s="318" t="s">
        <v>689</v>
      </c>
      <c r="Q18" s="129" t="s">
        <v>121</v>
      </c>
      <c r="R18" s="129" t="s">
        <v>35</v>
      </c>
      <c r="T18" s="120" t="s">
        <v>416</v>
      </c>
      <c r="X18" s="149"/>
    </row>
    <row r="19" spans="1:24" ht="15.75" thickBot="1">
      <c r="A19" s="181" t="s">
        <v>575</v>
      </c>
      <c r="B19" s="18" t="s">
        <v>225</v>
      </c>
      <c r="C19" s="263"/>
      <c r="D19" s="17" t="s">
        <v>467</v>
      </c>
      <c r="E19" s="18" t="s">
        <v>49</v>
      </c>
      <c r="F19" s="318" t="s">
        <v>641</v>
      </c>
      <c r="G19" s="253" t="s">
        <v>511</v>
      </c>
      <c r="H19" s="261" t="s">
        <v>445</v>
      </c>
      <c r="I19" s="263" t="s">
        <v>526</v>
      </c>
      <c r="J19" s="320" t="s">
        <v>692</v>
      </c>
      <c r="Q19" s="129" t="s">
        <v>269</v>
      </c>
      <c r="R19" s="129" t="s">
        <v>37</v>
      </c>
      <c r="T19" s="120" t="s">
        <v>397</v>
      </c>
      <c r="V19" s="131"/>
    </row>
    <row r="20" spans="1:24" ht="15.75" thickBot="1">
      <c r="A20" s="125"/>
      <c r="B20" s="18" t="s">
        <v>224</v>
      </c>
      <c r="C20" s="17"/>
      <c r="D20" s="17" t="s">
        <v>468</v>
      </c>
      <c r="E20" s="18" t="s">
        <v>50</v>
      </c>
      <c r="F20" s="320" t="s">
        <v>659</v>
      </c>
      <c r="G20" s="315" t="s">
        <v>512</v>
      </c>
      <c r="H20" s="260" t="s">
        <v>601</v>
      </c>
      <c r="I20" s="266" t="s">
        <v>527</v>
      </c>
      <c r="J20" s="318" t="s">
        <v>630</v>
      </c>
      <c r="Q20" s="129" t="s">
        <v>270</v>
      </c>
      <c r="R20" s="129" t="s">
        <v>46</v>
      </c>
      <c r="T20" s="120" t="s">
        <v>417</v>
      </c>
    </row>
    <row r="21" spans="1:24" ht="15.75" thickBot="1">
      <c r="B21" s="18" t="s">
        <v>227</v>
      </c>
      <c r="C21" s="125"/>
      <c r="D21" s="17" t="s">
        <v>469</v>
      </c>
      <c r="E21" s="18" t="s">
        <v>51</v>
      </c>
      <c r="F21" s="318" t="s">
        <v>642</v>
      </c>
      <c r="G21" s="315" t="s">
        <v>350</v>
      </c>
      <c r="H21" s="325" t="s">
        <v>602</v>
      </c>
      <c r="I21" s="254" t="s">
        <v>693</v>
      </c>
      <c r="J21" s="318" t="s">
        <v>631</v>
      </c>
      <c r="Q21" s="129" t="s">
        <v>271</v>
      </c>
      <c r="R21" s="129" t="s">
        <v>38</v>
      </c>
      <c r="T21" s="120" t="s">
        <v>418</v>
      </c>
    </row>
    <row r="22" spans="1:24">
      <c r="B22" s="18"/>
      <c r="C22" s="267" t="s">
        <v>487</v>
      </c>
      <c r="D22" s="17" t="s">
        <v>470</v>
      </c>
      <c r="E22" s="18" t="s">
        <v>39</v>
      </c>
      <c r="F22" s="320" t="s">
        <v>660</v>
      </c>
      <c r="G22" s="315" t="s">
        <v>351</v>
      </c>
      <c r="I22" s="18"/>
      <c r="J22" s="318" t="s">
        <v>632</v>
      </c>
      <c r="Q22" s="129" t="s">
        <v>272</v>
      </c>
      <c r="R22" s="129" t="s">
        <v>47</v>
      </c>
      <c r="T22" s="120" t="s">
        <v>419</v>
      </c>
    </row>
    <row r="23" spans="1:24" ht="13.5" thickBot="1">
      <c r="B23" s="122"/>
      <c r="C23" s="17"/>
      <c r="D23" s="17" t="s">
        <v>471</v>
      </c>
      <c r="E23" s="18" t="s">
        <v>52</v>
      </c>
      <c r="F23" s="320" t="s">
        <v>661</v>
      </c>
      <c r="G23" s="315" t="s">
        <v>353</v>
      </c>
      <c r="I23" s="180" t="s">
        <v>63</v>
      </c>
      <c r="J23" s="318" t="s">
        <v>633</v>
      </c>
      <c r="Q23" s="129" t="s">
        <v>273</v>
      </c>
      <c r="R23" s="129" t="s">
        <v>292</v>
      </c>
      <c r="T23" s="120" t="s">
        <v>420</v>
      </c>
    </row>
    <row r="24" spans="1:24">
      <c r="C24" s="263" t="s">
        <v>63</v>
      </c>
      <c r="D24" s="17" t="s">
        <v>472</v>
      </c>
      <c r="E24" s="18" t="s">
        <v>87</v>
      </c>
      <c r="F24" s="318" t="s">
        <v>644</v>
      </c>
      <c r="G24" s="315" t="s">
        <v>352</v>
      </c>
      <c r="I24" s="180" t="s">
        <v>126</v>
      </c>
      <c r="J24" s="318" t="s">
        <v>634</v>
      </c>
      <c r="Q24" s="86" t="s">
        <v>593</v>
      </c>
      <c r="R24" s="129" t="s">
        <v>291</v>
      </c>
      <c r="T24" s="120" t="s">
        <v>421</v>
      </c>
    </row>
    <row r="25" spans="1:24">
      <c r="C25" s="263" t="s">
        <v>64</v>
      </c>
      <c r="D25" s="17" t="s">
        <v>473</v>
      </c>
      <c r="E25" s="18"/>
      <c r="F25" s="320" t="s">
        <v>662</v>
      </c>
      <c r="G25" s="315" t="s">
        <v>354</v>
      </c>
      <c r="I25" s="180" t="s">
        <v>123</v>
      </c>
      <c r="J25" s="318" t="s">
        <v>635</v>
      </c>
      <c r="Q25" s="129" t="s">
        <v>330</v>
      </c>
      <c r="R25" s="129" t="s">
        <v>290</v>
      </c>
      <c r="T25" s="123" t="s">
        <v>422</v>
      </c>
    </row>
    <row r="26" spans="1:24">
      <c r="C26" s="263" t="s">
        <v>123</v>
      </c>
      <c r="D26" s="17" t="s">
        <v>474</v>
      </c>
      <c r="E26" s="18"/>
      <c r="F26" s="320" t="s">
        <v>663</v>
      </c>
      <c r="G26" s="315" t="s">
        <v>349</v>
      </c>
      <c r="I26" s="180" t="s">
        <v>124</v>
      </c>
      <c r="J26" s="318" t="s">
        <v>636</v>
      </c>
      <c r="Q26" s="129" t="s">
        <v>274</v>
      </c>
      <c r="R26" s="129" t="s">
        <v>289</v>
      </c>
      <c r="T26" s="120" t="s">
        <v>423</v>
      </c>
    </row>
    <row r="27" spans="1:24">
      <c r="C27" s="263" t="s">
        <v>124</v>
      </c>
      <c r="D27" s="17" t="s">
        <v>475</v>
      </c>
      <c r="E27" s="18"/>
      <c r="F27" s="318" t="s">
        <v>646</v>
      </c>
      <c r="G27" s="315" t="s">
        <v>348</v>
      </c>
      <c r="I27" s="180" t="s">
        <v>64</v>
      </c>
      <c r="J27" s="318" t="s">
        <v>637</v>
      </c>
      <c r="Q27" s="129" t="s">
        <v>275</v>
      </c>
      <c r="R27" s="129" t="s">
        <v>288</v>
      </c>
      <c r="T27" s="120" t="s">
        <v>398</v>
      </c>
    </row>
    <row r="28" spans="1:24">
      <c r="C28" s="263" t="s">
        <v>126</v>
      </c>
      <c r="D28" s="17" t="s">
        <v>476</v>
      </c>
      <c r="E28" s="18"/>
      <c r="F28" s="318" t="s">
        <v>647</v>
      </c>
      <c r="G28" s="315" t="s">
        <v>514</v>
      </c>
      <c r="I28" s="180" t="s">
        <v>694</v>
      </c>
      <c r="J28" s="318" t="s">
        <v>638</v>
      </c>
      <c r="Q28" s="129" t="s">
        <v>268</v>
      </c>
      <c r="R28" s="129" t="s">
        <v>287</v>
      </c>
      <c r="T28" s="120" t="s">
        <v>583</v>
      </c>
    </row>
    <row r="29" spans="1:24">
      <c r="C29" s="17"/>
      <c r="D29" s="17" t="s">
        <v>477</v>
      </c>
      <c r="E29" s="18"/>
      <c r="F29" s="320" t="s">
        <v>664</v>
      </c>
      <c r="G29" s="315" t="s">
        <v>513</v>
      </c>
      <c r="I29" s="180" t="s">
        <v>695</v>
      </c>
      <c r="J29" s="318" t="s">
        <v>639</v>
      </c>
      <c r="Q29" s="180" t="s">
        <v>595</v>
      </c>
      <c r="R29" s="129" t="s">
        <v>48</v>
      </c>
      <c r="T29" s="120" t="s">
        <v>399</v>
      </c>
    </row>
    <row r="30" spans="1:24" ht="13.5" thickBot="1">
      <c r="C30" s="125"/>
      <c r="D30" s="17" t="s">
        <v>478</v>
      </c>
      <c r="E30" s="18"/>
      <c r="F30" s="318" t="s">
        <v>648</v>
      </c>
      <c r="G30" s="316"/>
      <c r="I30" s="180" t="s">
        <v>696</v>
      </c>
      <c r="J30" s="318" t="s">
        <v>640</v>
      </c>
      <c r="Q30" s="129" t="s">
        <v>277</v>
      </c>
      <c r="R30" s="129" t="s">
        <v>286</v>
      </c>
      <c r="T30" s="120" t="s">
        <v>237</v>
      </c>
    </row>
    <row r="31" spans="1:24" ht="13.5" thickBot="1">
      <c r="C31" s="267" t="s">
        <v>499</v>
      </c>
      <c r="D31" s="17" t="s">
        <v>479</v>
      </c>
      <c r="E31" s="18"/>
      <c r="F31" s="318" t="s">
        <v>649</v>
      </c>
      <c r="G31" s="316"/>
      <c r="I31" s="180" t="s">
        <v>697</v>
      </c>
      <c r="J31" s="318" t="s">
        <v>643</v>
      </c>
      <c r="Q31" s="129" t="s">
        <v>278</v>
      </c>
      <c r="R31" s="129" t="s">
        <v>49</v>
      </c>
      <c r="T31" s="120" t="s">
        <v>400</v>
      </c>
    </row>
    <row r="32" spans="1:24">
      <c r="C32" s="263" t="s">
        <v>247</v>
      </c>
      <c r="D32" s="17" t="s">
        <v>480</v>
      </c>
      <c r="E32" s="18"/>
      <c r="F32" s="320" t="s">
        <v>668</v>
      </c>
      <c r="G32" s="316"/>
      <c r="H32" s="326" t="s">
        <v>304</v>
      </c>
      <c r="I32" s="180" t="s">
        <v>698</v>
      </c>
      <c r="J32" s="318" t="s">
        <v>645</v>
      </c>
      <c r="Q32" s="129" t="s">
        <v>122</v>
      </c>
      <c r="R32" s="129" t="s">
        <v>285</v>
      </c>
      <c r="T32" s="120" t="s">
        <v>401</v>
      </c>
    </row>
    <row r="33" spans="3:20" ht="13.5" thickBot="1">
      <c r="C33" s="266" t="s">
        <v>528</v>
      </c>
      <c r="D33" s="17" t="s">
        <v>481</v>
      </c>
      <c r="E33" s="18"/>
      <c r="F33" s="320" t="s">
        <v>665</v>
      </c>
      <c r="G33" s="316"/>
      <c r="I33" s="18"/>
      <c r="J33" s="318" t="s">
        <v>646</v>
      </c>
      <c r="Q33" s="180" t="s">
        <v>266</v>
      </c>
      <c r="R33" s="129" t="s">
        <v>86</v>
      </c>
      <c r="T33" s="120" t="s">
        <v>402</v>
      </c>
    </row>
    <row r="34" spans="3:20" ht="13.5" thickBot="1">
      <c r="D34" s="17" t="s">
        <v>482</v>
      </c>
      <c r="E34" s="18"/>
      <c r="F34" s="320" t="s">
        <v>666</v>
      </c>
      <c r="G34" s="316"/>
      <c r="H34" s="103" t="s">
        <v>333</v>
      </c>
      <c r="I34" s="122"/>
      <c r="J34" s="318" t="s">
        <v>647</v>
      </c>
      <c r="Q34" s="86"/>
      <c r="R34" s="129" t="s">
        <v>50</v>
      </c>
      <c r="T34" s="120" t="s">
        <v>405</v>
      </c>
    </row>
    <row r="35" spans="3:20" ht="13.5" thickBot="1">
      <c r="D35" s="266" t="s">
        <v>577</v>
      </c>
      <c r="E35" s="18"/>
      <c r="F35" s="320" t="s">
        <v>667</v>
      </c>
      <c r="G35" s="316"/>
      <c r="H35" s="121" t="s">
        <v>334</v>
      </c>
      <c r="J35" s="318" t="s">
        <v>649</v>
      </c>
      <c r="Q35" s="86"/>
      <c r="R35" s="129" t="s">
        <v>284</v>
      </c>
      <c r="T35" s="120" t="s">
        <v>403</v>
      </c>
    </row>
    <row r="36" spans="3:20" ht="13.5" thickBot="1">
      <c r="E36" s="18"/>
      <c r="F36" s="318" t="s">
        <v>650</v>
      </c>
      <c r="G36" s="316"/>
      <c r="H36" s="121" t="s">
        <v>335</v>
      </c>
      <c r="J36" s="318" t="s">
        <v>653</v>
      </c>
      <c r="Q36" s="87"/>
      <c r="R36" s="129" t="s">
        <v>283</v>
      </c>
      <c r="T36" s="120" t="s">
        <v>236</v>
      </c>
    </row>
    <row r="37" spans="3:20" ht="13.5" thickBot="1">
      <c r="E37" s="122"/>
      <c r="F37" s="318" t="s">
        <v>651</v>
      </c>
      <c r="G37" s="316"/>
      <c r="H37" s="121" t="s">
        <v>336</v>
      </c>
      <c r="J37" s="318" t="s">
        <v>690</v>
      </c>
      <c r="R37" s="129" t="s">
        <v>282</v>
      </c>
      <c r="T37" s="132" t="s">
        <v>404</v>
      </c>
    </row>
    <row r="38" spans="3:20">
      <c r="E38" s="93" t="s">
        <v>303</v>
      </c>
      <c r="F38" s="320" t="s">
        <v>669</v>
      </c>
      <c r="G38" s="316"/>
      <c r="H38" s="121" t="s">
        <v>133</v>
      </c>
      <c r="J38" s="180"/>
      <c r="R38" s="129" t="s">
        <v>84</v>
      </c>
      <c r="T38" s="120" t="s">
        <v>233</v>
      </c>
    </row>
    <row r="39" spans="3:20" ht="13.5" thickBot="1">
      <c r="E39" s="18"/>
      <c r="F39" s="318" t="s">
        <v>652</v>
      </c>
      <c r="G39" s="316"/>
      <c r="H39" s="121" t="s">
        <v>337</v>
      </c>
      <c r="J39" s="122"/>
      <c r="R39" s="129" t="s">
        <v>40</v>
      </c>
      <c r="T39" s="120" t="s">
        <v>234</v>
      </c>
    </row>
    <row r="40" spans="3:20">
      <c r="E40" s="18" t="s">
        <v>128</v>
      </c>
      <c r="F40" s="320" t="s">
        <v>670</v>
      </c>
      <c r="G40" s="316"/>
      <c r="H40" s="121" t="s">
        <v>338</v>
      </c>
      <c r="R40" s="129" t="s">
        <v>281</v>
      </c>
      <c r="T40" s="120" t="s">
        <v>372</v>
      </c>
    </row>
    <row r="41" spans="3:20">
      <c r="E41" s="18" t="s">
        <v>129</v>
      </c>
      <c r="F41" s="320" t="s">
        <v>671</v>
      </c>
      <c r="G41" s="316"/>
      <c r="H41" s="121" t="s">
        <v>137</v>
      </c>
      <c r="R41" s="129" t="s">
        <v>52</v>
      </c>
      <c r="T41" s="120" t="s">
        <v>238</v>
      </c>
    </row>
    <row r="42" spans="3:20">
      <c r="E42" s="18" t="s">
        <v>130</v>
      </c>
      <c r="F42" s="320" t="s">
        <v>673</v>
      </c>
      <c r="G42" s="316"/>
      <c r="H42" s="121" t="s">
        <v>338</v>
      </c>
      <c r="R42" s="129" t="s">
        <v>39</v>
      </c>
      <c r="T42" s="120" t="s">
        <v>235</v>
      </c>
    </row>
    <row r="43" spans="3:20" ht="13.5" thickBot="1">
      <c r="E43" s="18" t="s">
        <v>131</v>
      </c>
      <c r="F43" s="320" t="s">
        <v>672</v>
      </c>
      <c r="G43" s="316"/>
      <c r="H43" s="121"/>
      <c r="R43" s="87" t="s">
        <v>87</v>
      </c>
      <c r="T43" s="123" t="s">
        <v>383</v>
      </c>
    </row>
    <row r="44" spans="3:20" ht="13.5" thickBot="1">
      <c r="E44" s="18" t="s">
        <v>132</v>
      </c>
      <c r="F44" s="122"/>
      <c r="G44" s="316"/>
      <c r="H44" s="121" t="s">
        <v>339</v>
      </c>
      <c r="T44" s="123" t="s">
        <v>406</v>
      </c>
    </row>
    <row r="45" spans="3:20">
      <c r="E45" s="18" t="s">
        <v>134</v>
      </c>
      <c r="G45" s="316"/>
      <c r="H45" s="121" t="s">
        <v>340</v>
      </c>
      <c r="T45" s="120" t="s">
        <v>407</v>
      </c>
    </row>
    <row r="46" spans="3:20">
      <c r="E46" s="18" t="s">
        <v>135</v>
      </c>
      <c r="G46" s="316"/>
      <c r="H46" s="121" t="s">
        <v>341</v>
      </c>
      <c r="T46" s="120" t="s">
        <v>239</v>
      </c>
    </row>
    <row r="47" spans="3:20">
      <c r="E47" s="18" t="s">
        <v>136</v>
      </c>
      <c r="G47" s="316"/>
      <c r="H47" s="121" t="s">
        <v>338</v>
      </c>
      <c r="T47" s="123" t="s">
        <v>355</v>
      </c>
    </row>
    <row r="48" spans="3:20">
      <c r="E48" s="18" t="s">
        <v>138</v>
      </c>
      <c r="G48" s="316"/>
      <c r="H48" s="121" t="s">
        <v>342</v>
      </c>
      <c r="T48" s="120" t="s">
        <v>371</v>
      </c>
    </row>
    <row r="49" spans="5:20">
      <c r="E49" s="18" t="s">
        <v>139</v>
      </c>
      <c r="G49" s="316"/>
      <c r="H49" s="121" t="s">
        <v>343</v>
      </c>
      <c r="T49" s="132"/>
    </row>
    <row r="50" spans="5:20">
      <c r="E50" s="18" t="s">
        <v>140</v>
      </c>
      <c r="G50" s="316"/>
      <c r="H50" s="121" t="s">
        <v>344</v>
      </c>
      <c r="T50" s="120"/>
    </row>
    <row r="51" spans="5:20">
      <c r="E51" s="18" t="s">
        <v>141</v>
      </c>
      <c r="G51" s="315"/>
      <c r="H51" s="121" t="s">
        <v>345</v>
      </c>
      <c r="T51" s="120"/>
    </row>
    <row r="52" spans="5:20" ht="13.5" thickBot="1">
      <c r="E52" s="18" t="s">
        <v>142</v>
      </c>
      <c r="G52" s="317"/>
      <c r="H52" s="121"/>
      <c r="T52" s="18"/>
    </row>
    <row r="53" spans="5:20">
      <c r="E53" s="18" t="s">
        <v>143</v>
      </c>
      <c r="H53" s="121" t="s">
        <v>346</v>
      </c>
      <c r="T53" s="18"/>
    </row>
    <row r="54" spans="5:20">
      <c r="E54" s="18" t="s">
        <v>144</v>
      </c>
      <c r="H54" s="121" t="s">
        <v>338</v>
      </c>
      <c r="T54" s="18"/>
    </row>
    <row r="55" spans="5:20">
      <c r="E55" s="18" t="s">
        <v>145</v>
      </c>
      <c r="H55" s="18" t="s">
        <v>347</v>
      </c>
      <c r="T55" s="18"/>
    </row>
    <row r="56" spans="5:20">
      <c r="E56" s="18" t="s">
        <v>146</v>
      </c>
      <c r="H56" s="18"/>
      <c r="T56" s="120"/>
    </row>
    <row r="57" spans="5:20">
      <c r="E57" s="18" t="s">
        <v>147</v>
      </c>
      <c r="H57" s="18"/>
      <c r="T57" s="18"/>
    </row>
    <row r="58" spans="5:20">
      <c r="E58" s="18" t="s">
        <v>148</v>
      </c>
      <c r="H58" s="18"/>
      <c r="T58" s="18"/>
    </row>
    <row r="59" spans="5:20">
      <c r="E59" s="18" t="s">
        <v>149</v>
      </c>
      <c r="H59" s="18"/>
      <c r="T59" s="120"/>
    </row>
    <row r="60" spans="5:20">
      <c r="E60" s="18" t="s">
        <v>150</v>
      </c>
      <c r="H60" s="18"/>
      <c r="T60" s="120"/>
    </row>
    <row r="61" spans="5:20" ht="13.5" thickBot="1">
      <c r="E61" s="18" t="s">
        <v>151</v>
      </c>
      <c r="H61" s="122"/>
      <c r="T61" s="120"/>
    </row>
    <row r="62" spans="5:20">
      <c r="E62" s="18"/>
      <c r="T62" s="120"/>
    </row>
    <row r="63" spans="5:20">
      <c r="E63" s="18"/>
      <c r="T63" s="18"/>
    </row>
    <row r="64" spans="5:20">
      <c r="E64" s="18"/>
      <c r="T64" s="18"/>
    </row>
    <row r="65" spans="5:20">
      <c r="E65" s="18"/>
      <c r="T65" s="123"/>
    </row>
    <row r="66" spans="5:20">
      <c r="E66" s="18"/>
      <c r="T66" s="18"/>
    </row>
    <row r="67" spans="5:20" ht="13.5" thickBot="1">
      <c r="E67" s="122"/>
      <c r="T67" s="123"/>
    </row>
    <row r="68" spans="5:20">
      <c r="T68" s="123"/>
    </row>
    <row r="69" spans="5:20">
      <c r="T69" s="18"/>
    </row>
    <row r="70" spans="5:20">
      <c r="T70" s="18"/>
    </row>
    <row r="71" spans="5:20">
      <c r="T71" s="18"/>
    </row>
    <row r="72" spans="5:20">
      <c r="T72" s="18"/>
    </row>
    <row r="73" spans="5:20">
      <c r="T73" s="18"/>
    </row>
    <row r="74" spans="5:20">
      <c r="T74" s="18"/>
    </row>
    <row r="75" spans="5:20">
      <c r="T75" s="18"/>
    </row>
    <row r="76" spans="5:20">
      <c r="T76" s="18"/>
    </row>
    <row r="77" spans="5:20">
      <c r="T77" s="18"/>
    </row>
    <row r="78" spans="5:20">
      <c r="T78" s="18"/>
    </row>
    <row r="79" spans="5:20">
      <c r="T79" s="18"/>
    </row>
    <row r="80" spans="5:20">
      <c r="T80" s="18"/>
    </row>
    <row r="81" spans="20:20">
      <c r="T81" s="18"/>
    </row>
    <row r="82" spans="20:20" ht="13.5" thickBot="1">
      <c r="T82" s="122"/>
    </row>
  </sheetData>
  <phoneticPr fontId="10" type="noConversion"/>
  <dataValidations count="1">
    <dataValidation allowBlank="1" showInputMessage="1" showErrorMessage="1" errorTitle="Revenue Location" sqref="C22:C31"/>
  </dataValidations>
  <hyperlinks>
    <hyperlink ref="G15" r:id="rId1" tooltip="mailto:atk1@atmel.com"/>
    <hyperlink ref="G16" r:id="rId2" tooltip="mailto:atk4@atmel.com"/>
    <hyperlink ref="G11" r:id="rId3" tooltip="mailto:asek@atmel.com"/>
    <hyperlink ref="G20" r:id="rId4" tooltip="mailto:utl@atmel.com"/>
    <hyperlink ref="G13" r:id="rId5" tooltip="mailto:aseshanghai@atmel.com"/>
    <hyperlink ref="G14" r:id="rId6" tooltip="mailto:atc@atmel.com"/>
    <hyperlink ref="G18" r:id="rId7" tooltip="mailto:atp2@atmel.com"/>
    <hyperlink ref="G27" r:id="rId8" tooltip="mailto:mitsui@atmel.com" display="mailto:mitsui@atmel.com"/>
    <hyperlink ref="G26" r:id="rId9" tooltip="mailto:greatek@atmel.com" display="mailto:greatek@atmel.com"/>
    <hyperlink ref="G17" r:id="rId10" tooltip="mailto:atp1@atmel.com"/>
    <hyperlink ref="G21" r:id="rId11" tooltip="mailto:asat@atmel.com" display="mailto:asat@atmel.com"/>
    <hyperlink ref="G22" r:id="rId12" tooltip="mailto:cpk@atmel.com" display="mailto:cpk@atmel.com"/>
    <hyperlink ref="G24" r:id="rId13" tooltip="mailto:cps@atmel.com" display="mailto:cps@atmel.com"/>
    <hyperlink ref="G12" r:id="rId14" tooltip="mailto:ase@atmel.com"/>
    <hyperlink ref="G9" r:id="rId15" tooltip="mailto:aic@atmel.com"/>
    <hyperlink ref="G23" r:id="rId16" tooltip="mailto:cpm@atmel.com" display="mailto:cpm@atmel.com"/>
    <hyperlink ref="G19" r:id="rId17" tooltip="mailto:lingsen@atmel.com"/>
    <hyperlink ref="G25" r:id="rId18" tooltip="mailto:fujitsu@atmel.com" display="mailto:fujitsu@atmel.com"/>
    <hyperlink ref="G10" r:id="rId19" tooltip="mailto:ascl@atmel.com"/>
    <hyperlink ref="G29" r:id="rId20" tooltip="mailto:sjodie_bank@atmel.com"/>
    <hyperlink ref="O10" r:id="rId21"/>
    <hyperlink ref="T40" r:id="rId22"/>
    <hyperlink ref="T48" r:id="rId23"/>
    <hyperlink ref="T15" r:id="rId24"/>
    <hyperlink ref="T47" r:id="rId25" display="Thierry.saunier@atmel.com"/>
    <hyperlink ref="T46" r:id="rId26" tooltip="mailto:stephane.vandepeutte@atmel.com" display="mailto:stephane.vandepeutte@atmel.com"/>
    <hyperlink ref="T41" r:id="rId27" tooltip="mailto:pierre.valleau@atmel.com" display="mailto:pierre.valleau@atmel.com"/>
    <hyperlink ref="T30" r:id="rId28" tooltip="mailto:laetitia.potard@atmel.com" display="mailto:laetitia.potard@atmel.com"/>
    <hyperlink ref="T36" r:id="rId29" tooltip="mailto:mickael.martineau@atmel.com" display="mailto:mickael.martineau@atmel.com"/>
    <hyperlink ref="T17" r:id="rId30"/>
    <hyperlink ref="T42" r:id="rId31" tooltip="mailto:robert.gaumont@atmel.com" display="mailto:robert.gaumont@atmel.com"/>
    <hyperlink ref="T18" r:id="rId32"/>
    <hyperlink ref="T23" r:id="rId33"/>
    <hyperlink ref="T22" r:id="rId34"/>
    <hyperlink ref="T39" r:id="rId35" tooltip="mailto:patrick.bizet@atmel.com" display="mailto:patrick.bizet@atmel.com"/>
    <hyperlink ref="T21" r:id="rId36"/>
    <hyperlink ref="T38" r:id="rId37" tooltip="mailto:pascal.bachelier@atmel.com" display="mailto:pascal.bachelier@atmel.com"/>
    <hyperlink ref="T6" r:id="rId38"/>
    <hyperlink ref="T7" r:id="rId39"/>
    <hyperlink ref="T8" r:id="rId40"/>
    <hyperlink ref="T9" r:id="rId41"/>
    <hyperlink ref="T11" r:id="rId42"/>
    <hyperlink ref="T12" r:id="rId43"/>
    <hyperlink ref="T13" r:id="rId44"/>
    <hyperlink ref="T14" r:id="rId45"/>
    <hyperlink ref="T16" r:id="rId46"/>
    <hyperlink ref="T20" r:id="rId47"/>
    <hyperlink ref="T19" r:id="rId48"/>
    <hyperlink ref="T24" r:id="rId49"/>
    <hyperlink ref="T25" r:id="rId50"/>
    <hyperlink ref="T26" r:id="rId51"/>
    <hyperlink ref="T27" r:id="rId52"/>
    <hyperlink ref="T29" r:id="rId53"/>
    <hyperlink ref="T31" r:id="rId54"/>
    <hyperlink ref="T32" r:id="rId55"/>
    <hyperlink ref="T33" r:id="rId56"/>
    <hyperlink ref="T35" r:id="rId57"/>
    <hyperlink ref="T37" r:id="rId58"/>
    <hyperlink ref="T34" r:id="rId59"/>
    <hyperlink ref="T44" r:id="rId60"/>
    <hyperlink ref="T45" r:id="rId61"/>
    <hyperlink ref="G28" r:id="rId62"/>
    <hyperlink ref="T10" r:id="rId63"/>
    <hyperlink ref="T5" r:id="rId64"/>
    <hyperlink ref="T28" r:id="rId65"/>
    <hyperlink ref="T4" r:id="rId66" display="mailto:DL-EBR-ABI@atmel.com"/>
  </hyperlinks>
  <pageMargins left="0.75" right="0.75" top="1" bottom="1" header="0.5" footer="0.5"/>
  <pageSetup orientation="portrait" verticalDpi="300" r:id="rId67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AF13"/>
  <sheetViews>
    <sheetView topLeftCell="D1" workbookViewId="0">
      <selection activeCell="J16" sqref="J16"/>
    </sheetView>
  </sheetViews>
  <sheetFormatPr defaultRowHeight="12.75"/>
  <cols>
    <col min="1" max="1" width="19.85546875" style="5" bestFit="1" customWidth="1"/>
    <col min="2" max="2" width="31" style="5" bestFit="1" customWidth="1"/>
    <col min="3" max="3" width="27.42578125" style="5" bestFit="1" customWidth="1"/>
    <col min="4" max="4" width="26.42578125" style="5" bestFit="1" customWidth="1"/>
    <col min="5" max="5" width="25.140625" style="5" bestFit="1" customWidth="1"/>
    <col min="6" max="6" width="27.28515625" style="5" bestFit="1" customWidth="1"/>
    <col min="7" max="7" width="25.28515625" style="5" bestFit="1" customWidth="1"/>
    <col min="8" max="8" width="25.28515625" style="5" customWidth="1"/>
    <col min="9" max="9" width="23.85546875" style="5" bestFit="1" customWidth="1"/>
    <col min="10" max="10" width="20.5703125" style="5" bestFit="1" customWidth="1"/>
    <col min="11" max="11" width="23.140625" style="5" bestFit="1" customWidth="1"/>
    <col min="12" max="12" width="28.42578125" style="5" bestFit="1" customWidth="1"/>
    <col min="13" max="13" width="26.42578125" style="5" bestFit="1" customWidth="1"/>
    <col min="14" max="14" width="9.140625" style="5"/>
    <col min="15" max="16384" width="9.140625" style="2"/>
  </cols>
  <sheetData>
    <row r="1" spans="1:32">
      <c r="A1" s="5" t="s">
        <v>558</v>
      </c>
      <c r="B1" s="5">
        <v>1</v>
      </c>
      <c r="C1" s="5">
        <v>2</v>
      </c>
      <c r="D1" s="5">
        <v>3</v>
      </c>
      <c r="E1" s="258">
        <v>4</v>
      </c>
      <c r="F1" s="258">
        <v>5</v>
      </c>
      <c r="G1" s="258">
        <v>6</v>
      </c>
      <c r="H1" s="258">
        <v>7</v>
      </c>
      <c r="I1" s="258">
        <v>8</v>
      </c>
      <c r="J1" s="258">
        <v>9</v>
      </c>
      <c r="K1" s="258">
        <v>10</v>
      </c>
      <c r="L1" s="258">
        <v>11</v>
      </c>
      <c r="M1" s="258">
        <v>12</v>
      </c>
    </row>
    <row r="2" spans="1:32">
      <c r="A2" s="103" t="s">
        <v>515</v>
      </c>
      <c r="B2" s="253" t="s">
        <v>540</v>
      </c>
      <c r="C2" s="253" t="s">
        <v>541</v>
      </c>
      <c r="D2" s="253" t="s">
        <v>542</v>
      </c>
      <c r="E2" s="253" t="s">
        <v>503</v>
      </c>
      <c r="F2" s="253"/>
      <c r="G2" s="253"/>
      <c r="H2" s="253"/>
      <c r="I2" s="253" t="s">
        <v>618</v>
      </c>
      <c r="J2" s="253" t="s">
        <v>617</v>
      </c>
      <c r="K2" s="253" t="s">
        <v>598</v>
      </c>
      <c r="L2" s="312" t="s">
        <v>599</v>
      </c>
      <c r="M2" s="312" t="s">
        <v>600</v>
      </c>
    </row>
    <row r="3" spans="1:32">
      <c r="A3" s="103" t="s">
        <v>535</v>
      </c>
      <c r="B3" s="253" t="s">
        <v>543</v>
      </c>
      <c r="C3" s="253" t="s">
        <v>544</v>
      </c>
      <c r="D3" s="253" t="s">
        <v>545</v>
      </c>
      <c r="E3" s="253" t="s">
        <v>546</v>
      </c>
      <c r="F3" s="253" t="s">
        <v>509</v>
      </c>
      <c r="G3" s="253"/>
      <c r="H3" s="253"/>
      <c r="I3" s="253" t="s">
        <v>618</v>
      </c>
      <c r="J3" s="253" t="s">
        <v>617</v>
      </c>
      <c r="K3" s="253" t="s">
        <v>598</v>
      </c>
      <c r="L3" s="312" t="s">
        <v>599</v>
      </c>
      <c r="M3" s="312" t="s">
        <v>600</v>
      </c>
    </row>
    <row r="4" spans="1:32">
      <c r="A4" s="103" t="s">
        <v>536</v>
      </c>
      <c r="B4" s="253" t="s">
        <v>547</v>
      </c>
      <c r="C4" s="253" t="s">
        <v>616</v>
      </c>
      <c r="D4" s="253"/>
      <c r="E4" s="253"/>
      <c r="F4" s="253"/>
      <c r="G4" s="253"/>
      <c r="H4" s="253"/>
      <c r="I4" s="253" t="s">
        <v>618</v>
      </c>
      <c r="J4" s="253" t="s">
        <v>617</v>
      </c>
      <c r="K4" s="253" t="s">
        <v>598</v>
      </c>
      <c r="L4" s="312" t="s">
        <v>599</v>
      </c>
      <c r="M4" s="312" t="s">
        <v>600</v>
      </c>
      <c r="Y4" s="253"/>
      <c r="Z4" s="253"/>
      <c r="AA4" s="253"/>
      <c r="AB4" s="253"/>
      <c r="AC4" s="253"/>
      <c r="AD4" s="253"/>
      <c r="AE4" s="103"/>
      <c r="AF4" s="103"/>
    </row>
    <row r="5" spans="1:32">
      <c r="A5" s="103" t="s">
        <v>537</v>
      </c>
      <c r="B5" s="253" t="s">
        <v>548</v>
      </c>
      <c r="C5" s="253" t="s">
        <v>549</v>
      </c>
      <c r="D5" s="253" t="s">
        <v>550</v>
      </c>
      <c r="E5" s="253" t="s">
        <v>512</v>
      </c>
      <c r="F5" s="253"/>
      <c r="G5" s="253"/>
      <c r="H5" s="253"/>
      <c r="I5" s="253" t="s">
        <v>618</v>
      </c>
      <c r="J5" s="253" t="s">
        <v>617</v>
      </c>
      <c r="K5" s="253" t="s">
        <v>598</v>
      </c>
      <c r="L5" s="312" t="s">
        <v>599</v>
      </c>
      <c r="M5" s="312" t="s">
        <v>600</v>
      </c>
    </row>
    <row r="6" spans="1:32">
      <c r="A6" s="103" t="s">
        <v>538</v>
      </c>
      <c r="B6" s="253" t="s">
        <v>509</v>
      </c>
      <c r="C6" s="253" t="s">
        <v>551</v>
      </c>
      <c r="D6" s="253" t="s">
        <v>552</v>
      </c>
      <c r="E6" s="253" t="s">
        <v>553</v>
      </c>
      <c r="F6" s="253" t="s">
        <v>544</v>
      </c>
      <c r="G6" s="253" t="s">
        <v>554</v>
      </c>
      <c r="H6" s="253" t="s">
        <v>555</v>
      </c>
      <c r="I6" s="253" t="s">
        <v>618</v>
      </c>
      <c r="J6" s="253" t="s">
        <v>617</v>
      </c>
      <c r="K6" s="253" t="s">
        <v>598</v>
      </c>
      <c r="L6" s="312" t="s">
        <v>599</v>
      </c>
      <c r="M6" s="312" t="s">
        <v>600</v>
      </c>
    </row>
    <row r="7" spans="1:32">
      <c r="A7" s="103" t="s">
        <v>539</v>
      </c>
      <c r="B7" s="253" t="s">
        <v>556</v>
      </c>
    </row>
    <row r="11" spans="1:32">
      <c r="R11" s="253"/>
    </row>
    <row r="13" spans="1:32">
      <c r="S13" s="103"/>
    </row>
  </sheetData>
  <hyperlinks>
    <hyperlink ref="B2" r:id="rId1"/>
    <hyperlink ref="C2" r:id="rId2"/>
    <hyperlink ref="D2" r:id="rId3"/>
    <hyperlink ref="E2" r:id="rId4" tooltip="mailto:atp1@atmel.com"/>
    <hyperlink ref="B3" r:id="rId5"/>
    <hyperlink ref="C3" r:id="rId6"/>
    <hyperlink ref="D3" r:id="rId7"/>
    <hyperlink ref="E3" r:id="rId8"/>
    <hyperlink ref="F3" r:id="rId9" tooltip="mailto:aseshanghai@atmel.com"/>
    <hyperlink ref="B4" r:id="rId10"/>
    <hyperlink ref="B5" r:id="rId11"/>
    <hyperlink ref="C5" r:id="rId12"/>
    <hyperlink ref="D5" r:id="rId13"/>
    <hyperlink ref="E5" r:id="rId14" tooltip="mailto:utl@atmel.com"/>
    <hyperlink ref="C6" r:id="rId15"/>
    <hyperlink ref="D6" r:id="rId16"/>
    <hyperlink ref="E6" r:id="rId17"/>
    <hyperlink ref="F6" r:id="rId18"/>
    <hyperlink ref="G6" r:id="rId19"/>
    <hyperlink ref="H6" r:id="rId20"/>
    <hyperlink ref="B7" r:id="rId21"/>
    <hyperlink ref="B6" r:id="rId22" tooltip="mailto:aseshanghai@atmel.com"/>
    <hyperlink ref="K2" r:id="rId23"/>
    <hyperlink ref="L2" r:id="rId24"/>
    <hyperlink ref="M2" r:id="rId25"/>
    <hyperlink ref="K3" r:id="rId26"/>
    <hyperlink ref="K4" r:id="rId27"/>
    <hyperlink ref="K5" r:id="rId28"/>
    <hyperlink ref="K6" r:id="rId29"/>
    <hyperlink ref="L3" r:id="rId30"/>
    <hyperlink ref="L4" r:id="rId31"/>
    <hyperlink ref="L5" r:id="rId32"/>
    <hyperlink ref="L6" r:id="rId33"/>
    <hyperlink ref="M3" r:id="rId34"/>
    <hyperlink ref="M4" r:id="rId35"/>
    <hyperlink ref="M5" r:id="rId36"/>
    <hyperlink ref="M6" r:id="rId37"/>
    <hyperlink ref="C4" r:id="rId38"/>
    <hyperlink ref="J2" r:id="rId39"/>
    <hyperlink ref="J3:J6" r:id="rId40" display="barnett.lee@atmel.co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EBR</vt:lpstr>
      <vt:lpstr>ABI</vt:lpstr>
      <vt:lpstr>Bond Diagram</vt:lpstr>
      <vt:lpstr>Launch Build</vt:lpstr>
      <vt:lpstr>Drop Downs</vt:lpstr>
      <vt:lpstr>Mail List</vt:lpstr>
      <vt:lpstr>Build_Reason</vt:lpstr>
      <vt:lpstr>Business_Unit</vt:lpstr>
      <vt:lpstr>christophe.coulee_atmel.com</vt:lpstr>
      <vt:lpstr>Container</vt:lpstr>
      <vt:lpstr>Die_Bank</vt:lpstr>
      <vt:lpstr>eABI_ATP_Mail_List</vt:lpstr>
      <vt:lpstr>Email_Addesses</vt:lpstr>
      <vt:lpstr>Fab_Code</vt:lpstr>
      <vt:lpstr>Fab_Location</vt:lpstr>
      <vt:lpstr>Marking</vt:lpstr>
      <vt:lpstr>Marking_SL</vt:lpstr>
      <vt:lpstr>Owner</vt:lpstr>
      <vt:lpstr>PKG_Code</vt:lpstr>
      <vt:lpstr>PKG_Style</vt:lpstr>
      <vt:lpstr>ABI!Print_Area</vt:lpstr>
      <vt:lpstr>EBR!Print_Area</vt:lpstr>
      <vt:lpstr>Priority</vt:lpstr>
      <vt:lpstr>Probe</vt:lpstr>
      <vt:lpstr>Process</vt:lpstr>
      <vt:lpstr>Process__LTS</vt:lpstr>
      <vt:lpstr>Qual_Level</vt:lpstr>
      <vt:lpstr>Requestor_LOC</vt:lpstr>
      <vt:lpstr>Rev_Loc</vt:lpstr>
      <vt:lpstr>Revenue_Location</vt:lpstr>
      <vt:lpstr>Scrap</vt:lpstr>
      <vt:lpstr>Store</vt:lpstr>
      <vt:lpstr>Test</vt:lpstr>
      <vt:lpstr>TEST_LOC</vt:lpstr>
      <vt:lpstr>Test_Location</vt:lpstr>
      <vt:lpstr>Vendor</vt:lpstr>
      <vt:lpstr>Vendor_Code</vt:lpstr>
      <vt:lpstr>Vendor_Email</vt:lpstr>
      <vt:lpstr>Vendor_Mail</vt:lpstr>
      <vt:lpstr>Wafer_Size</vt:lpstr>
      <vt:lpstr>Wafer_Size1</vt:lpstr>
      <vt:lpstr>Wfr_Size</vt:lpstr>
      <vt:lpstr>Wire_Mat</vt:lpstr>
      <vt:lpstr>YES_NO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Webber, Melissa</dc:creator>
  <cp:lastModifiedBy>Atmel</cp:lastModifiedBy>
  <cp:lastPrinted>2015-06-16T15:13:39Z</cp:lastPrinted>
  <dcterms:created xsi:type="dcterms:W3CDTF">2013-04-23T21:07:51Z</dcterms:created>
  <dcterms:modified xsi:type="dcterms:W3CDTF">2016-02-15T08:47:35Z</dcterms:modified>
</cp:coreProperties>
</file>